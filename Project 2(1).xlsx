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 activeTab="1"/>
  </bookViews>
  <sheets>
    <sheet name="Scenario Summary" sheetId="2" r:id="rId1"/>
    <sheet name="Sheet1" sheetId="1" r:id="rId2"/>
  </sheets>
  <definedNames>
    <definedName name="Slicer_Region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<sst xmlns="http://schemas.openxmlformats.org/spreadsheetml/2006/main" count="853" uniqueCount="108">
  <si>
    <t>Scenario Summary</t>
  </si>
  <si>
    <t>Current Values:</t>
  </si>
  <si>
    <t>Created by hp on 01-12-2025</t>
  </si>
  <si>
    <t>Changing Cells:</t>
  </si>
  <si>
    <t>$H$2</t>
  </si>
  <si>
    <t>$H$3</t>
  </si>
  <si>
    <t>$H$4</t>
  </si>
  <si>
    <t>$H$5</t>
  </si>
  <si>
    <t>$H$6</t>
  </si>
  <si>
    <t>$H$7</t>
  </si>
  <si>
    <t>$H$8</t>
  </si>
  <si>
    <t>$H$9</t>
  </si>
  <si>
    <t>$H$10</t>
  </si>
  <si>
    <t>$H$11</t>
  </si>
  <si>
    <t>$H$12</t>
  </si>
  <si>
    <t>$H$13</t>
  </si>
  <si>
    <t>$H$14</t>
  </si>
  <si>
    <t>$H$15</t>
  </si>
  <si>
    <t>$H$16</t>
  </si>
  <si>
    <t>Result Cells:</t>
  </si>
  <si>
    <t>$K$2</t>
  </si>
  <si>
    <t>Notes:  Current Values column represents values of changing cells at</t>
  </si>
  <si>
    <t>time Scenario Summary Report was created.  Changing cells for each</t>
  </si>
  <si>
    <t>scenario are highlighted in gray.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</si>
  <si>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</si>
  <si>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</si>
  <si>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</si>
  <si>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</si>
  <si>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</si>
  <si>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</si>
  <si>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</si>
  <si>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</si>
  <si>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</si>
  <si>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Total Pfrofit</t>
  </si>
  <si>
    <t>up/down</t>
  </si>
  <si>
    <t>time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</si>
  <si>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</si>
  <si>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</si>
  <si>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</si>
  <si>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</si>
  <si>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</si>
  <si>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</si>
  <si>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</si>
  <si>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</si>
  <si>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</si>
  <si>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</si>
  <si>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</si>
  <si>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</si>
  <si>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</si>
  <si>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</si>
  <si>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</si>
  <si>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</si>
  <si>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</si>
  <si>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</si>
  <si>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</si>
  <si>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</si>
  <si>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</si>
  <si>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</si>
  <si>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</si>
  <si>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</si>
  <si>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</si>
  <si>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</si>
  <si>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</si>
  <si>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</si>
  <si>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</si>
  <si>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</si>
  <si>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</si>
  <si>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</si>
  <si>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</si>
  <si>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</si>
  <si>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</si>
  <si>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</si>
  <si>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</si>
  <si>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</si>
  <si>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</si>
  <si>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</si>
  <si>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</si>
  <si>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</si>
  <si>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</si>
  <si>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</si>
  <si>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</si>
  <si>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</si>
  <si>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</si>
  <si>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</si>
  <si>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</si>
  <si>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</si>
  <si>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</si>
  <si>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</si>
  <si>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</si>
  <si>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</si>
  <si>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</si>
  <si>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</si>
  <si>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</si>
  <si>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</si>
  <si>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</si>
  <si>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</si>
  <si>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</si>
  <si>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</si>
  <si>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</si>
  <si>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</si>
  <si>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</si>
  <si>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</si>
  <si>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</si>
  <si>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Sum of Sales</t>
  </si>
  <si>
    <t>Column Labels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</si>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</sst>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Green]&quot;▲&quot;\ 0%;[Red]&quot;▼&quot;\ 0%;0%"/>
    <numFmt numFmtId="182" formatCode="dd/mm/yyyy\ hh:mm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indexed="9"/>
      <name val="Calibri"/>
      <charset val="134"/>
      <scheme val="minor"/>
    </font>
    <font>
      <sz val="10"/>
      <color indexed="9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indexed="1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80" fontId="0" fillId="0" borderId="1" xfId="0" applyNumberForma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181" fontId="0" fillId="0" borderId="0" xfId="0" applyNumberFormat="1"/>
    <xf numFmtId="18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left"/>
    </xf>
    <xf numFmtId="0" fontId="0" fillId="0" borderId="0" xfId="0" applyFill="1" applyBorder="1" applyAlignment="1"/>
    <xf numFmtId="0" fontId="5" fillId="0" borderId="0" xfId="0" applyFont="1" applyFill="1" applyBorder="1" applyAlignment="1">
      <alignment vertical="top" wrapText="1"/>
    </xf>
    <xf numFmtId="0" fontId="6" fillId="3" borderId="5" xfId="0" applyFont="1" applyFill="1" applyBorder="1" applyAlignment="1">
      <alignment horizontal="left"/>
    </xf>
    <xf numFmtId="0" fontId="0" fillId="0" borderId="5" xfId="0" applyFill="1" applyBorder="1" applyAlignment="1"/>
    <xf numFmtId="0" fontId="0" fillId="4" borderId="0" xfId="0" applyFill="1" applyBorder="1" applyAlignment="1"/>
    <xf numFmtId="0" fontId="4" fillId="3" borderId="6" xfId="0" applyFont="1" applyFill="1" applyBorder="1" applyAlignment="1">
      <alignment horizontal="left"/>
    </xf>
    <xf numFmtId="0" fontId="0" fillId="0" borderId="6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Sheet1!$B$213:$B$214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Sheet1!$B$215:$B$221</c:f>
              <c:numCache>
                <c:formatCode>General</c:formatCode>
                <c:ptCount val="6"/>
                <c:pt idx="0">
                  <c:v>11297.15</c:v>
                </c:pt>
                <c:pt idx="1">
                  <c:v>11389.09</c:v>
                </c:pt>
                <c:pt idx="2">
                  <c:v>8037.01</c:v>
                </c:pt>
                <c:pt idx="3">
                  <c:v>9588.04</c:v>
                </c:pt>
                <c:pt idx="4">
                  <c:v>6691.17</c:v>
                </c:pt>
              </c:numCache>
            </c:numRef>
          </c:val>
        </c:ser>
        <c:ser>
          <c:idx val="1"/>
          <c:order val="1"/>
          <c:tx>
            <c:strRef>
              <c:f>Sheet1!$C$213:$C$214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Sheet1!$C$215:$C$221</c:f>
              <c:numCache>
                <c:formatCode>General</c:formatCode>
                <c:ptCount val="6"/>
                <c:pt idx="0">
                  <c:v>12200.26</c:v>
                </c:pt>
                <c:pt idx="1">
                  <c:v>2401.45</c:v>
                </c:pt>
                <c:pt idx="2">
                  <c:v>8422.82</c:v>
                </c:pt>
                <c:pt idx="3">
                  <c:v>8393.63</c:v>
                </c:pt>
                <c:pt idx="4">
                  <c:v>10509.24</c:v>
                </c:pt>
              </c:numCache>
            </c:numRef>
          </c:val>
        </c:ser>
        <c:ser>
          <c:idx val="2"/>
          <c:order val="2"/>
          <c:tx>
            <c:strRef>
              <c:f>Sheet1!$D$213:$D$214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Sheet1!$D$215:$D$221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</c:ser>
        <c:ser>
          <c:idx val="3"/>
          <c:order val="3"/>
          <c:tx>
            <c:strRef>
              <c:f>Sheet1!$E$213:$E$214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Sheet1!$E$215:$E$221</c:f>
              <c:numCache>
                <c:formatCode>General</c:formatCode>
                <c:ptCount val="6"/>
                <c:pt idx="0">
                  <c:v>4876.96</c:v>
                </c:pt>
                <c:pt idx="1">
                  <c:v>7592.34</c:v>
                </c:pt>
                <c:pt idx="2">
                  <c:v>6978.08</c:v>
                </c:pt>
                <c:pt idx="3">
                  <c:v>7982.73</c:v>
                </c:pt>
                <c:pt idx="4">
                  <c:v>9182.78</c:v>
                </c:pt>
              </c:numCache>
            </c:numRef>
          </c:val>
        </c:ser>
        <c:ser>
          <c:idx val="4"/>
          <c:order val="4"/>
          <c:tx>
            <c:strRef>
              <c:f>Sheet1!$F$213:$F$214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Sheet1!$F$215:$F$221</c:f>
              <c:numCache>
                <c:formatCode>General</c:formatCode>
                <c:ptCount val="6"/>
                <c:pt idx="0">
                  <c:v>8472.72</c:v>
                </c:pt>
                <c:pt idx="1">
                  <c:v>8189.22</c:v>
                </c:pt>
                <c:pt idx="2">
                  <c:v>3345.8</c:v>
                </c:pt>
                <c:pt idx="3">
                  <c:v>2295.32</c:v>
                </c:pt>
                <c:pt idx="4">
                  <c:v>6327.76</c:v>
                </c:pt>
              </c:numCache>
            </c:numRef>
          </c:val>
        </c:ser>
        <c:ser>
          <c:idx val="5"/>
          <c:order val="5"/>
          <c:tx>
            <c:strRef>
              <c:f>Sheet1!$G$213:$G$214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Sheet1!$G$215:$G$221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9300448"/>
        <c:axId val="1189304608"/>
      </c:barChart>
      <c:catAx>
        <c:axId val="118930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9304608"/>
        <c:crosses val="autoZero"/>
        <c:auto val="1"/>
        <c:lblAlgn val="ctr"/>
        <c:lblOffset val="100"/>
        <c:noMultiLvlLbl val="0"/>
      </c:catAx>
      <c:valAx>
        <c:axId val="118930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930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ef8c0e-10d6-4ef3-9c4d-39012e8d15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2.xlsx]Sheet1!PivotTable3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Sheet1!$B$213:$B$214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Sheet1!$B$215:$B$221</c:f>
              <c:numCache>
                <c:formatCode>General</c:formatCode>
                <c:ptCount val="6"/>
                <c:pt idx="0">
                  <c:v>11297.15</c:v>
                </c:pt>
                <c:pt idx="1">
                  <c:v>11389.09</c:v>
                </c:pt>
                <c:pt idx="2">
                  <c:v>8037.01</c:v>
                </c:pt>
                <c:pt idx="3">
                  <c:v>9588.04</c:v>
                </c:pt>
                <c:pt idx="4">
                  <c:v>6691.17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Sheet1!$C$213:$C$214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Sheet1!$C$215:$C$221</c:f>
              <c:numCache>
                <c:formatCode>General</c:formatCode>
                <c:ptCount val="6"/>
                <c:pt idx="0">
                  <c:v>12200.26</c:v>
                </c:pt>
                <c:pt idx="1">
                  <c:v>2401.45</c:v>
                </c:pt>
                <c:pt idx="2">
                  <c:v>8422.82</c:v>
                </c:pt>
                <c:pt idx="3">
                  <c:v>8393.63</c:v>
                </c:pt>
                <c:pt idx="4">
                  <c:v>10509.24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Sheet1!$D$213:$D$214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Sheet1!$D$215:$D$221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Sheet1!$E$213:$E$214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Sheet1!$E$215:$E$221</c:f>
              <c:numCache>
                <c:formatCode>General</c:formatCode>
                <c:ptCount val="6"/>
                <c:pt idx="0">
                  <c:v>4876.96</c:v>
                </c:pt>
                <c:pt idx="1">
                  <c:v>7592.34</c:v>
                </c:pt>
                <c:pt idx="2">
                  <c:v>6978.08</c:v>
                </c:pt>
                <c:pt idx="3">
                  <c:v>7982.73</c:v>
                </c:pt>
                <c:pt idx="4">
                  <c:v>9182.78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Sheet1!$F$213:$F$214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Sheet1!$F$215:$F$221</c:f>
              <c:numCache>
                <c:formatCode>General</c:formatCode>
                <c:ptCount val="6"/>
                <c:pt idx="0">
                  <c:v>8472.72</c:v>
                </c:pt>
                <c:pt idx="1">
                  <c:v>8189.22</c:v>
                </c:pt>
                <c:pt idx="2">
                  <c:v>3345.8</c:v>
                </c:pt>
                <c:pt idx="3">
                  <c:v>2295.32</c:v>
                </c:pt>
                <c:pt idx="4">
                  <c:v>6327.76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Sheet1!$G$213:$G$214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Sheet1!$G$215:$G$221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86601856"/>
        <c:axId val="1286604768"/>
      </c:lineChart>
      <c:catAx>
        <c:axId val="12866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6604768"/>
        <c:crosses val="autoZero"/>
        <c:auto val="1"/>
        <c:lblAlgn val="ctr"/>
        <c:lblOffset val="100"/>
        <c:noMultiLvlLbl val="0"/>
      </c:catAx>
      <c:valAx>
        <c:axId val="128660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66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f50df5-3587-4803-a17d-aea4c2cecd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Sheet1!$B$213:$B$214</c:f>
              <c:strCache>
                <c:ptCount val="1"/>
                <c:pt idx="0">
                  <c:v>Books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Sheet1!$B$215:$B$221</c:f>
              <c:numCache>
                <c:formatCode>General</c:formatCode>
                <c:ptCount val="6"/>
                <c:pt idx="0">
                  <c:v>11297.15</c:v>
                </c:pt>
                <c:pt idx="1">
                  <c:v>11389.09</c:v>
                </c:pt>
                <c:pt idx="2">
                  <c:v>8037.01</c:v>
                </c:pt>
                <c:pt idx="3">
                  <c:v>9588.04</c:v>
                </c:pt>
                <c:pt idx="4">
                  <c:v>6691.17</c:v>
                </c:pt>
              </c:numCache>
            </c:numRef>
          </c:val>
        </c:ser>
        <c:ser>
          <c:idx val="1"/>
          <c:order val="1"/>
          <c:tx>
            <c:strRef>
              <c:f>Sheet1!$C$213:$C$214</c:f>
              <c:strCache>
                <c:ptCount val="1"/>
                <c:pt idx="0">
                  <c:v>Clothing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Sheet1!$C$215:$C$221</c:f>
              <c:numCache>
                <c:formatCode>General</c:formatCode>
                <c:ptCount val="6"/>
                <c:pt idx="0">
                  <c:v>12200.26</c:v>
                </c:pt>
                <c:pt idx="1">
                  <c:v>2401.45</c:v>
                </c:pt>
                <c:pt idx="2">
                  <c:v>8422.82</c:v>
                </c:pt>
                <c:pt idx="3">
                  <c:v>8393.63</c:v>
                </c:pt>
                <c:pt idx="4">
                  <c:v>10509.24</c:v>
                </c:pt>
              </c:numCache>
            </c:numRef>
          </c:val>
        </c:ser>
        <c:ser>
          <c:idx val="2"/>
          <c:order val="2"/>
          <c:tx>
            <c:strRef>
              <c:f>Sheet1!$D$213:$D$214</c:f>
              <c:strCache>
                <c:ptCount val="1"/>
                <c:pt idx="0">
                  <c:v>Electronics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Sheet1!$D$215:$D$221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</c:ser>
        <c:ser>
          <c:idx val="3"/>
          <c:order val="3"/>
          <c:tx>
            <c:strRef>
              <c:f>Sheet1!$E$213:$E$214</c:f>
              <c:strCache>
                <c:ptCount val="1"/>
                <c:pt idx="0">
                  <c:v>Furniture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Sheet1!$E$215:$E$221</c:f>
              <c:numCache>
                <c:formatCode>General</c:formatCode>
                <c:ptCount val="6"/>
                <c:pt idx="0">
                  <c:v>4876.96</c:v>
                </c:pt>
                <c:pt idx="1">
                  <c:v>7592.34</c:v>
                </c:pt>
                <c:pt idx="2">
                  <c:v>6978.08</c:v>
                </c:pt>
                <c:pt idx="3">
                  <c:v>7982.73</c:v>
                </c:pt>
                <c:pt idx="4">
                  <c:v>9182.78</c:v>
                </c:pt>
              </c:numCache>
            </c:numRef>
          </c:val>
        </c:ser>
        <c:ser>
          <c:idx val="4"/>
          <c:order val="4"/>
          <c:tx>
            <c:strRef>
              <c:f>Sheet1!$F$213:$F$214</c:f>
              <c:strCache>
                <c:ptCount val="1"/>
                <c:pt idx="0">
                  <c:v>Office Supplies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Sheet1!$F$215:$F$221</c:f>
              <c:numCache>
                <c:formatCode>General</c:formatCode>
                <c:ptCount val="6"/>
                <c:pt idx="0">
                  <c:v>8472.72</c:v>
                </c:pt>
                <c:pt idx="1">
                  <c:v>8189.22</c:v>
                </c:pt>
                <c:pt idx="2">
                  <c:v>3345.8</c:v>
                </c:pt>
                <c:pt idx="3">
                  <c:v>2295.32</c:v>
                </c:pt>
                <c:pt idx="4">
                  <c:v>6327.76</c:v>
                </c:pt>
              </c:numCache>
            </c:numRef>
          </c:val>
        </c:ser>
        <c:ser>
          <c:idx val="5"/>
          <c:order val="5"/>
          <c:tx>
            <c:strRef>
              <c:f>Sheet1!$G$213:$G$214</c:f>
              <c:strCache>
                <c:ptCount val="1"/>
                <c:pt idx="0">
                  <c:v>(blank)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Sheet1!$A$215:$A$221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Sheet1!$G$215:$G$221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4b206f-7559-45a0-a179-cff76f5cec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107358</xdr:colOff>
      <xdr:row>208</xdr:row>
      <xdr:rowOff>16790</xdr:rowOff>
    </xdr:from>
    <xdr:to>
      <xdr:col>14</xdr:col>
      <xdr:colOff>506117</xdr:colOff>
      <xdr:row>222</xdr:row>
      <xdr:rowOff>47786</xdr:rowOff>
    </xdr:to>
    <xdr:graphicFrame>
      <xdr:nvGraphicFramePr>
        <xdr:cNvPr id="2" name="Chart 1"/>
        <xdr:cNvGraphicFramePr/>
      </xdr:nvGraphicFramePr>
      <xdr:xfrm>
        <a:off x="6298565" y="49175035"/>
        <a:ext cx="4504055" cy="269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605403</xdr:colOff>
      <xdr:row>208</xdr:row>
      <xdr:rowOff>16790</xdr:rowOff>
    </xdr:from>
    <xdr:to>
      <xdr:col>23</xdr:col>
      <xdr:colOff>419744</xdr:colOff>
      <xdr:row>222</xdr:row>
      <xdr:rowOff>47786</xdr:rowOff>
    </xdr:to>
    <xdr:graphicFrame>
      <xdr:nvGraphicFramePr>
        <xdr:cNvPr id="4" name="Chart 3"/>
        <xdr:cNvGraphicFramePr/>
      </xdr:nvGraphicFramePr>
      <xdr:xfrm>
        <a:off x="11496675" y="49175035"/>
        <a:ext cx="4620260" cy="269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341446</xdr:colOff>
      <xdr:row>223</xdr:row>
      <xdr:rowOff>185656</xdr:rowOff>
    </xdr:from>
    <xdr:to>
      <xdr:col>11</xdr:col>
      <xdr:colOff>869357</xdr:colOff>
      <xdr:row>241</xdr:row>
      <xdr:rowOff>8072</xdr:rowOff>
    </xdr:to>
    <xdr:graphicFrame>
      <xdr:nvGraphicFramePr>
        <xdr:cNvPr id="5" name="Chart 4"/>
        <xdr:cNvGraphicFramePr/>
      </xdr:nvGraphicFramePr>
      <xdr:xfrm>
        <a:off x="4322445" y="52201445"/>
        <a:ext cx="4538345" cy="325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8073</xdr:colOff>
      <xdr:row>226</xdr:row>
      <xdr:rowOff>129152</xdr:rowOff>
    </xdr:from>
    <xdr:to>
      <xdr:col>2</xdr:col>
      <xdr:colOff>468179</xdr:colOff>
      <xdr:row>238</xdr:row>
      <xdr:rowOff>96864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20" y="52716430"/>
              <a:ext cx="1546225" cy="2253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993.5225685185" refreshedBy="hp" recordCount="201">
  <cacheSource type="worksheet">
    <worksheetSource ref="A1:L202" sheet="Sheet1"/>
  </cacheSource>
  <cacheFields count="12">
    <cacheField name="Customer_ID" numFmtId="0"/>
    <cacheField name="Customer_Name" numFmtId="0"/>
    <cacheField name="Region" numFmtId="0">
      <sharedItems containsBlank="1" count="6">
        <s v="West"/>
        <s v="East"/>
        <s v="South"/>
        <s v="North"/>
        <s v="Central"/>
        <m/>
      </sharedItems>
    </cacheField>
    <cacheField name="Product_Category" numFmtId="0">
      <sharedItems containsBlank="1" count="6">
        <s v="Books"/>
        <s v="Clothing"/>
        <s v="Electronics"/>
        <s v="Furniture"/>
        <s v="Office Supplies"/>
        <m/>
      </sharedItems>
    </cacheField>
    <cacheField name="Sales" numFmtId="0">
      <sharedItems containsString="0" containsBlank="1" containsNumber="1" minValue="0" maxValue="1923.66" count="201">
        <n v="1036.09"/>
        <n v="1101.09"/>
        <n v="713.34"/>
        <n v="760.93"/>
        <n v="847"/>
        <n v="965.64"/>
        <n v="1317.53"/>
        <n v="1074.47"/>
        <n v="501.54"/>
        <n v="737.31"/>
        <n v="1572.82"/>
        <n v="1343.13"/>
        <n v="1191.58"/>
        <n v="822.28"/>
        <n v="521.67"/>
        <n v="1502.93"/>
        <n v="877.58"/>
        <n v="636.7"/>
        <n v="1506.14"/>
        <n v="645.02"/>
        <n v="953.3"/>
        <n v="388.56"/>
        <n v="743.17"/>
        <n v="706.37"/>
        <n v="925.31"/>
        <n v="1173.12"/>
        <n v="675.54"/>
        <n v="939.09"/>
        <n v="983.34"/>
        <n v="801.21"/>
        <n v="1450.71"/>
        <n v="1023.21"/>
        <n v="853.72"/>
        <n v="967.89"/>
        <n v="1200.9"/>
        <n v="472.38"/>
        <n v="840.92"/>
        <n v="1410.06"/>
        <n v="773.09"/>
        <n v="580.43"/>
        <n v="1151.21"/>
        <n v="1025.98"/>
        <n v="556.42"/>
        <n v="840.85"/>
        <n v="1227.25"/>
        <n v="856.7"/>
        <n v="1225.42"/>
        <n v="1001.57"/>
        <n v="1186.85"/>
        <n v="775.45"/>
        <n v="1021.47"/>
        <n v="1226.62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1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4"/>
        <n v="518.07"/>
        <n v="1111.34"/>
        <n v="1291.47"/>
        <n v="679.71"/>
        <n v="1143.69"/>
        <n v="790.08"/>
        <n v="1070.68"/>
        <n v="1168.89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"/>
        <n v="1923.66"/>
        <n v="728.71"/>
        <n v="1301.89"/>
        <n v="980.18"/>
        <n v="697.57"/>
        <n v="1193.61"/>
        <n v="771.02"/>
        <n v="661.09"/>
        <n v="688.83"/>
        <n v="1249.1"/>
        <n v="1014.22"/>
        <n v="1010.58"/>
        <n v="957.29"/>
        <n v="1077.92"/>
        <n v="1163.01"/>
        <n v="1014.56"/>
        <n v="718.04"/>
        <n v="1277.85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4"/>
        <n v="1622.62"/>
        <n v="640.64"/>
        <n v="585.16"/>
        <n v="1109.98"/>
        <n v="1098.08"/>
        <n v="827.25"/>
        <n v="741.88"/>
        <n v="1311.26"/>
        <n v="573.32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"/>
        <n v="934.27"/>
        <n v="1465.35"/>
        <n v="740.8"/>
        <n v="545.44"/>
        <n v="997.61"/>
        <n v="928.32"/>
        <m/>
      </sharedItems>
    </cacheField>
    <cacheField name="Quantity" numFmtId="0"/>
    <cacheField name="Discount" numFmtId="0"/>
    <cacheField name="Order_Date" numFmtId="0"/>
    <cacheField name="Profit" numFmtId="0"/>
    <cacheField name="Total Pfrofit" numFmtId="0"/>
    <cacheField name="up/down" numFmtId="0"/>
    <cacheField name="time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">
  <r>
    <s v="CUST019"/>
    <s v="James Davis"/>
    <x v="0"/>
    <x v="0"/>
    <x v="0"/>
    <n v="4"/>
    <n v="0.2"/>
    <d v="2024-04-10T00:00:00"/>
    <n v="331.55"/>
    <n v="397.86"/>
    <n v="6.273586271462904E-2"/>
    <d v="2025-12-02T12:31:57"/>
  </r>
  <r>
    <s v="CUST012"/>
    <s v="Robert Anderson"/>
    <x v="0"/>
    <x v="1"/>
    <x v="1"/>
    <n v="3"/>
    <n v="0.2"/>
    <d v="2024-04-11T00:00:00"/>
    <n v="440.51"/>
    <n v="528.61199999999997"/>
    <n v="-0.35215105032286181"/>
    <d v="2025-12-02T12:31:57"/>
  </r>
  <r>
    <s v="CUST017"/>
    <s v="James Taylor"/>
    <x v="1"/>
    <x v="0"/>
    <x v="2"/>
    <n v="17"/>
    <n v="11"/>
    <d v="2024-04-14T00:00:00"/>
    <n v="285.33999999999997"/>
    <n v="3424.08"/>
    <n v="6.6714329772618833E-2"/>
    <m/>
  </r>
  <r>
    <s v="CUST005"/>
    <s v="Robert Anderson"/>
    <x v="2"/>
    <x v="2"/>
    <x v="3"/>
    <n v="4"/>
    <n v="0.15"/>
    <d v="2024-04-14T00:00:00"/>
    <n v="161.69999999999999"/>
    <n v="185.95499999999998"/>
    <n v="0.1131115871367932"/>
    <m/>
  </r>
  <r>
    <s v="CUST030"/>
    <s v="James Wilson"/>
    <x v="3"/>
    <x v="0"/>
    <x v="4"/>
    <n v="12"/>
    <n v="0.29899999999999999"/>
    <d v="2024-04-15T00:00:00"/>
    <n v="271.04000000000002"/>
    <n v="352.08096"/>
    <n v="0.14007083825265643"/>
    <m/>
  </r>
  <r>
    <s v="CUST007"/>
    <s v="Michael Anderson"/>
    <x v="3"/>
    <x v="3"/>
    <x v="5"/>
    <n v="8"/>
    <n v="0.1"/>
    <d v="2024-04-16T00:00:00"/>
    <n v="304.18"/>
    <n v="334.59800000000001"/>
    <n v="0.36441116772296095"/>
    <m/>
  </r>
  <r>
    <s v="CUST001"/>
    <s v="Linda Wilson"/>
    <x v="0"/>
    <x v="2"/>
    <x v="6"/>
    <n v="12"/>
    <n v="0.05"/>
    <d v="2024-04-16T00:00:00"/>
    <n v="312.91000000000003"/>
    <n v="328.55550000000005"/>
    <n v="-0.18448156778213776"/>
    <m/>
  </r>
  <r>
    <s v="CUST026"/>
    <s v="Mary Davis"/>
    <x v="1"/>
    <x v="3"/>
    <x v="7"/>
    <n v="6"/>
    <n v="0.2"/>
    <d v="2024-04-19T00:00:00"/>
    <n v="300.85000000000002"/>
    <n v="361.02000000000004"/>
    <n v="-0.53322102990311504"/>
    <m/>
  </r>
  <r>
    <s v="CUST009"/>
    <s v="Linda Jackson"/>
    <x v="4"/>
    <x v="0"/>
    <x v="8"/>
    <n v="11"/>
    <n v="0.05"/>
    <d v="2024-04-19T00:00:00"/>
    <n v="190.59"/>
    <n v="200.11950000000002"/>
    <n v="0.47009211628185171"/>
    <m/>
  </r>
  <r>
    <s v="CUST010"/>
    <s v="David Thomas"/>
    <x v="4"/>
    <x v="1"/>
    <x v="9"/>
    <n v="2"/>
    <n v="0.05"/>
    <d v="2024-04-19T00:00:00"/>
    <n v="350.22"/>
    <n v="367.73100000000005"/>
    <n v="1.1331868549185553"/>
    <m/>
  </r>
  <r>
    <s v="CUST014"/>
    <s v="Emma Davis"/>
    <x v="0"/>
    <x v="4"/>
    <x v="10"/>
    <n v="6"/>
    <n v="0.05"/>
    <d v="2024-04-20T00:00:00"/>
    <n v="672.38"/>
    <n v="705.99900000000002"/>
    <n v="-0.14603705446268475"/>
    <m/>
  </r>
  <r>
    <s v="CUST014"/>
    <s v="David Thomas"/>
    <x v="4"/>
    <x v="0"/>
    <x v="11"/>
    <n v="14"/>
    <n v="0.15"/>
    <d v="2024-04-22T00:00:00"/>
    <n v="456.66"/>
    <n v="525.15899999999999"/>
    <n v="-0.11283345618071235"/>
    <m/>
  </r>
  <r>
    <s v="CUST007"/>
    <s v="Michael Anderson"/>
    <x v="4"/>
    <x v="0"/>
    <x v="12"/>
    <n v="14"/>
    <n v="0.05"/>
    <d v="2024-04-24T00:00:00"/>
    <n v="452.8"/>
    <n v="475.44"/>
    <n v="-0.30992463787576158"/>
    <m/>
  </r>
  <r>
    <s v="CUST023"/>
    <s v="Robert Anderson"/>
    <x v="0"/>
    <x v="3"/>
    <x v="13"/>
    <n v="7"/>
    <n v="0.05"/>
    <d v="2024-04-24T00:00:00"/>
    <n v="273.41000000000003"/>
    <n v="287.08050000000003"/>
    <n v="-0.36558106727635359"/>
    <m/>
  </r>
  <r>
    <s v="CUST029"/>
    <s v="David Smith"/>
    <x v="3"/>
    <x v="3"/>
    <x v="14"/>
    <n v="15"/>
    <n v="0.15"/>
    <d v="2024-04-27T00:00:00"/>
    <n v="155.19999999999999"/>
    <n v="178.48"/>
    <n v="1.8809975655107638"/>
    <m/>
  </r>
  <r>
    <s v="CUST005"/>
    <s v="Sarah Anderson"/>
    <x v="2"/>
    <x v="2"/>
    <x v="15"/>
    <n v="14"/>
    <n v="0.2"/>
    <d v="2024-04-28T00:00:00"/>
    <n v="300.58999999999997"/>
    <n v="360.70799999999997"/>
    <n v="-0.41608724291883187"/>
    <m/>
  </r>
  <r>
    <s v="CUST008"/>
    <s v="Robert Anderson"/>
    <x v="2"/>
    <x v="0"/>
    <x v="16"/>
    <n v="10"/>
    <n v="0.15"/>
    <d v="2024-04-29T00:00:00"/>
    <n v="298.38"/>
    <n v="343.137"/>
    <n v="-0.27448209849814259"/>
    <m/>
  </r>
  <r>
    <s v="CUST001"/>
    <s v="Lisa Thomas"/>
    <x v="0"/>
    <x v="0"/>
    <x v="17"/>
    <n v="4"/>
    <n v="0.2"/>
    <d v="2024-04-29T00:00:00"/>
    <n v="203.74"/>
    <n v="244.488"/>
    <n v="1.3655410711481075"/>
    <m/>
  </r>
  <r>
    <s v="CUST006"/>
    <s v="Mary Jackson"/>
    <x v="0"/>
    <x v="0"/>
    <x v="18"/>
    <n v="13"/>
    <n v="0.2"/>
    <d v="2024-04-30T00:00:00"/>
    <n v="481.96"/>
    <n v="578.35199999999998"/>
    <n v="-0.57173967891431077"/>
    <m/>
  </r>
  <r>
    <s v="CUST026"/>
    <s v="Mary Davis"/>
    <x v="4"/>
    <x v="2"/>
    <x v="19"/>
    <n v="4"/>
    <n v="0"/>
    <d v="2024-05-02T00:00:00"/>
    <n v="161.26"/>
    <n v="161.26"/>
    <n v="0.47793866856841644"/>
    <m/>
  </r>
  <r>
    <s v="CUST007"/>
    <s v="Lisa Davis"/>
    <x v="2"/>
    <x v="1"/>
    <x v="20"/>
    <n v="11"/>
    <n v="0"/>
    <d v="2024-05-03T00:00:00"/>
    <n v="476.65"/>
    <n v="476.65"/>
    <n v="-0.5924053288576524"/>
    <m/>
  </r>
  <r>
    <s v="CUST022"/>
    <s v="Robert Anderson"/>
    <x v="3"/>
    <x v="2"/>
    <x v="21"/>
    <n v="14"/>
    <n v="0.15"/>
    <d v="2024-05-04T00:00:00"/>
    <n v="82.57"/>
    <n v="94.955499999999986"/>
    <n v="0.9126261066501955"/>
    <m/>
  </r>
  <r>
    <s v="CUST019"/>
    <s v="Mary Davis"/>
    <x v="0"/>
    <x v="0"/>
    <x v="22"/>
    <n v="9"/>
    <n v="0"/>
    <d v="2024-05-04T00:00:00"/>
    <n v="297.27"/>
    <n v="297.27"/>
    <n v="-4.95176070078178E-2"/>
    <m/>
  </r>
  <r>
    <s v="CUST023"/>
    <s v="Mary Davis"/>
    <x v="4"/>
    <x v="2"/>
    <x v="23"/>
    <n v="6"/>
    <n v="0"/>
    <d v="2024-05-04T00:00:00"/>
    <n v="176.59"/>
    <n v="176.59"/>
    <n v="0.3099508756034372"/>
    <m/>
  </r>
  <r>
    <s v="CUST012"/>
    <s v="Mary Davis"/>
    <x v="4"/>
    <x v="4"/>
    <x v="24"/>
    <n v="8"/>
    <n v="0.1"/>
    <d v="2024-05-06T00:00:00"/>
    <n v="374.75"/>
    <n v="412.22500000000002"/>
    <n v="0.26781294917379034"/>
    <m/>
  </r>
  <r>
    <s v="CUST010"/>
    <s v="Linda Brown"/>
    <x v="2"/>
    <x v="2"/>
    <x v="25"/>
    <n v="18"/>
    <n v="0"/>
    <d v="2024-05-06T00:00:00"/>
    <n v="293.27999999999997"/>
    <n v="293.27999999999997"/>
    <n v="-0.42415098199672663"/>
    <m/>
  </r>
  <r>
    <s v="CUST030"/>
    <s v="John Brown"/>
    <x v="3"/>
    <x v="3"/>
    <x v="26"/>
    <n v="17"/>
    <n v="0"/>
    <d v="2024-05-08T00:00:00"/>
    <n v="236.44"/>
    <n v="236.44"/>
    <n v="0.3901323385735857"/>
    <m/>
  </r>
  <r>
    <s v="CUST007"/>
    <s v="Robert Anderson"/>
    <x v="4"/>
    <x v="0"/>
    <x v="27"/>
    <n v="2"/>
    <n v="0.05"/>
    <d v="2024-05-10T00:00:00"/>
    <n v="356.85"/>
    <n v="374.6925"/>
    <n v="4.7120084336964504E-2"/>
    <m/>
  </r>
  <r>
    <s v="CUST028"/>
    <s v="Linda Taylor"/>
    <x v="1"/>
    <x v="4"/>
    <x v="28"/>
    <n v="19"/>
    <n v="0.1"/>
    <d v="2024-05-14T00:00:00"/>
    <n v="398.25"/>
    <n v="438.07499999999999"/>
    <n v="-0.18521569345292574"/>
    <m/>
  </r>
  <r>
    <s v="CUST028"/>
    <s v="James Wilson"/>
    <x v="2"/>
    <x v="2"/>
    <x v="29"/>
    <n v="3"/>
    <n v="0.2"/>
    <d v="2024-05-14T00:00:00"/>
    <n v="160.24"/>
    <n v="192.28800000000001"/>
    <n v="0.81064889354850789"/>
    <m/>
  </r>
  <r>
    <s v="CUST025"/>
    <s v="David Brown"/>
    <x v="3"/>
    <x v="2"/>
    <x v="30"/>
    <n v="5"/>
    <n v="0.1"/>
    <d v="2024-05-15T00:00:00"/>
    <n v="326.41000000000003"/>
    <n v="359.05100000000004"/>
    <n v="-0.29468329300825113"/>
    <m/>
  </r>
  <r>
    <s v="CUST022"/>
    <s v="David Davis"/>
    <x v="4"/>
    <x v="0"/>
    <x v="31"/>
    <n v="18"/>
    <n v="0.05"/>
    <d v="2024-05-16T00:00:00"/>
    <n v="388.82"/>
    <n v="408.26099999999997"/>
    <n v="-0.16564537094047166"/>
    <m/>
  </r>
  <r>
    <s v="CUST001"/>
    <s v="Mary Jackson"/>
    <x v="0"/>
    <x v="3"/>
    <x v="32"/>
    <n v="5"/>
    <n v="0.15"/>
    <d v="2024-05-16T00:00:00"/>
    <n v="253.98"/>
    <n v="292.077"/>
    <n v="0.13373237126926857"/>
    <m/>
  </r>
  <r>
    <s v="CUST021"/>
    <s v="Sarah Anderson"/>
    <x v="2"/>
    <x v="2"/>
    <x v="33"/>
    <n v="10"/>
    <n v="0.1"/>
    <d v="2024-05-17T00:00:00"/>
    <n v="217.78"/>
    <n v="239.55799999999999"/>
    <n v="0.24074016675448667"/>
    <m/>
  </r>
  <r>
    <s v="CUST015"/>
    <s v="Linda Taylor"/>
    <x v="3"/>
    <x v="4"/>
    <x v="34"/>
    <n v="14"/>
    <n v="0.05"/>
    <d v="2024-05-17T00:00:00"/>
    <n v="513.38"/>
    <n v="539.04899999999998"/>
    <n v="-0.60664501623782163"/>
    <m/>
  </r>
  <r>
    <s v="CUST012"/>
    <s v="Michael Anderson"/>
    <x v="0"/>
    <x v="0"/>
    <x v="35"/>
    <n v="12"/>
    <n v="0.2"/>
    <d v="2024-05-17T00:00:00"/>
    <n v="151.16"/>
    <n v="181.392"/>
    <n v="0.78017697616325832"/>
    <m/>
  </r>
  <r>
    <s v="CUST019"/>
    <s v="David Brown"/>
    <x v="1"/>
    <x v="4"/>
    <x v="36"/>
    <n v="9"/>
    <n v="0.05"/>
    <d v="2024-05-17T00:00:00"/>
    <n v="359.49"/>
    <n v="377.46449999999999"/>
    <n v="0.67680635494458452"/>
    <m/>
  </r>
  <r>
    <s v="CUST028"/>
    <s v="Lisa Davis"/>
    <x v="4"/>
    <x v="3"/>
    <x v="37"/>
    <n v="11"/>
    <n v="0.05"/>
    <d v="2024-05-22T00:00:00"/>
    <n v="468.84"/>
    <n v="492.28199999999998"/>
    <n v="-0.4517325503879267"/>
    <m/>
  </r>
  <r>
    <s v="CUST008"/>
    <s v="Mary Wilson"/>
    <x v="4"/>
    <x v="3"/>
    <x v="38"/>
    <n v="13"/>
    <n v="0.15"/>
    <d v="2024-05-22T00:00:00"/>
    <n v="229.99"/>
    <n v="264.48849999999999"/>
    <n v="-0.24920772484445547"/>
    <m/>
  </r>
  <r>
    <s v="CUST016"/>
    <s v="Emma Wilson"/>
    <x v="1"/>
    <x v="0"/>
    <x v="39"/>
    <n v="19"/>
    <n v="0.15"/>
    <d v="2024-05-23T00:00:00"/>
    <n v="197.35"/>
    <n v="226.95249999999999"/>
    <n v="0.98337439484520117"/>
    <m/>
  </r>
  <r>
    <s v="CUST005"/>
    <s v="David Smith"/>
    <x v="2"/>
    <x v="0"/>
    <x v="40"/>
    <n v="15"/>
    <n v="0.1"/>
    <d v="2024-06-02T00:00:00"/>
    <n v="414.44"/>
    <n v="455.88400000000001"/>
    <n v="-0.10878119543784368"/>
    <m/>
  </r>
  <r>
    <s v="CUST028"/>
    <s v="James Wilson"/>
    <x v="4"/>
    <x v="4"/>
    <x v="41"/>
    <n v="5"/>
    <n v="0.2"/>
    <d v="2024-06-04T00:00:00"/>
    <n v="369.35"/>
    <n v="443.22"/>
    <n v="-0.45766974015088019"/>
    <m/>
  </r>
  <r>
    <s v="CUST023"/>
    <s v="David Davis"/>
    <x v="1"/>
    <x v="4"/>
    <x v="42"/>
    <n v="11"/>
    <n v="0.15"/>
    <d v="2024-06-04T00:00:00"/>
    <n v="212.83"/>
    <n v="244.75450000000001"/>
    <n v="0.51117860608892574"/>
    <m/>
  </r>
  <r>
    <s v="CUST021"/>
    <s v="James Wilson"/>
    <x v="4"/>
    <x v="0"/>
    <x v="43"/>
    <n v="19"/>
    <n v="0.1"/>
    <d v="2024-06-05T00:00:00"/>
    <n v="302.70999999999998"/>
    <n v="332.98099999999999"/>
    <n v="0.45953499435095435"/>
    <m/>
  </r>
  <r>
    <s v="CUST026"/>
    <s v="Emma Wilson"/>
    <x v="3"/>
    <x v="3"/>
    <x v="44"/>
    <n v="12"/>
    <n v="0.15"/>
    <d v="2024-06-05T00:00:00"/>
    <n v="365.11"/>
    <n v="419.87650000000002"/>
    <n v="-0.3019352210226115"/>
    <m/>
  </r>
  <r>
    <s v="CUST017"/>
    <s v="Linda Davis"/>
    <x v="4"/>
    <x v="2"/>
    <x v="45"/>
    <n v="2"/>
    <n v="0"/>
    <d v="2024-06-06T00:00:00"/>
    <n v="214.18"/>
    <n v="214.18"/>
    <n v="0.4303957044472978"/>
    <m/>
  </r>
  <r>
    <s v="CUST025"/>
    <s v="David Davis"/>
    <x v="4"/>
    <x v="4"/>
    <x v="46"/>
    <n v="8"/>
    <n v="0.15"/>
    <d v="2024-06-06T00:00:00"/>
    <n v="468.72"/>
    <n v="539.02800000000002"/>
    <n v="-0.18267206345579476"/>
    <m/>
  </r>
  <r>
    <s v="CUST011"/>
    <s v="Mary Davis"/>
    <x v="3"/>
    <x v="4"/>
    <x v="47"/>
    <n v="12"/>
    <n v="0"/>
    <d v="2024-06-07T00:00:00"/>
    <n v="450.71"/>
    <n v="450.71"/>
    <n v="0.18498956638078201"/>
    <m/>
  </r>
  <r>
    <s v="CUST021"/>
    <s v="Michael Anderson"/>
    <x v="1"/>
    <x v="3"/>
    <x v="48"/>
    <n v="19"/>
    <n v="0.2"/>
    <d v="2024-06-08T00:00:00"/>
    <n v="332.32"/>
    <n v="398.78399999999999"/>
    <n v="-0.34663184058642615"/>
    <m/>
  </r>
  <r>
    <s v="CUST008"/>
    <s v="John Brown"/>
    <x v="2"/>
    <x v="2"/>
    <x v="49"/>
    <n v="6"/>
    <n v="0.1"/>
    <d v="2024-06-14T00:00:00"/>
    <n v="174.48"/>
    <n v="191.928"/>
    <n v="0.3172609452575923"/>
    <m/>
  </r>
  <r>
    <s v="CUST007"/>
    <s v="Linda Jackson"/>
    <x v="2"/>
    <x v="2"/>
    <x v="50"/>
    <n v="6"/>
    <n v="0.05"/>
    <d v="2024-06-18T00:00:00"/>
    <n v="242.6"/>
    <n v="254.73"/>
    <n v="0.20083800796890741"/>
    <m/>
  </r>
  <r>
    <s v="CUST015"/>
    <s v="James Wilson"/>
    <x v="2"/>
    <x v="1"/>
    <x v="51"/>
    <n v="7"/>
    <n v="0.1"/>
    <d v="2024-06-20T00:00:00"/>
    <n v="551.98"/>
    <n v="607.178"/>
    <n v="-0.11388204986059239"/>
    <m/>
  </r>
  <r>
    <s v="CUST030"/>
    <s v="Sarah Davis"/>
    <x v="2"/>
    <x v="3"/>
    <x v="52"/>
    <n v="2"/>
    <n v="0"/>
    <d v="2024-06-21T00:00:00"/>
    <n v="380.43"/>
    <n v="380.43"/>
    <n v="-0.13251083326433172"/>
    <m/>
  </r>
  <r>
    <s v="CUST002"/>
    <s v="Lisa Davis"/>
    <x v="0"/>
    <x v="0"/>
    <x v="53"/>
    <n v="18"/>
    <n v="0.1"/>
    <d v="2024-06-23T00:00:00"/>
    <n v="339.44"/>
    <n v="373.38400000000001"/>
    <n v="-0.13161522961077529"/>
    <m/>
  </r>
  <r>
    <s v="CUST009"/>
    <s v="Emma Davis"/>
    <x v="3"/>
    <x v="2"/>
    <x v="54"/>
    <n v="15"/>
    <n v="0.15"/>
    <d v="2024-06-25T00:00:00"/>
    <n v="173.99"/>
    <n v="200.08850000000001"/>
    <n v="0.12242305813385444"/>
    <m/>
  </r>
  <r>
    <s v="CUST005"/>
    <s v="Robert Anderson"/>
    <x v="2"/>
    <x v="3"/>
    <x v="55"/>
    <n v="10"/>
    <n v="0.2"/>
    <d v="2024-06-25T00:00:00"/>
    <n v="257.33"/>
    <n v="308.79599999999999"/>
    <n v="5.8996344011142093E-2"/>
    <m/>
  </r>
  <r>
    <s v="CUST030"/>
    <s v="Emma Taylor"/>
    <x v="4"/>
    <x v="0"/>
    <x v="56"/>
    <n v="11"/>
    <n v="0"/>
    <d v="2024-06-27T00:00:00"/>
    <n v="389.3"/>
    <n v="389.3"/>
    <n v="-0.23801450794237919"/>
    <m/>
  </r>
  <r>
    <s v="CUST029"/>
    <s v="Sarah Davis"/>
    <x v="3"/>
    <x v="2"/>
    <x v="57"/>
    <n v="1"/>
    <n v="0.2"/>
    <d v="2024-06-28T00:00:00"/>
    <n v="148.32"/>
    <n v="177.98399999999998"/>
    <n v="0.68393090708054083"/>
    <m/>
  </r>
  <r>
    <s v="CUST003"/>
    <s v="Emma Davis"/>
    <x v="3"/>
    <x v="0"/>
    <x v="58"/>
    <n v="2"/>
    <n v="0.1"/>
    <d v="2024-06-30T00:00:00"/>
    <n v="449.58"/>
    <n v="494.53800000000001"/>
    <n v="8.9316314600983299E-2"/>
    <m/>
  </r>
  <r>
    <s v="CUST012"/>
    <s v="Mary Wilson"/>
    <x v="0"/>
    <x v="1"/>
    <x v="59"/>
    <n v="17"/>
    <n v="0"/>
    <d v="2024-06-30T00:00:00"/>
    <n v="680.18"/>
    <n v="680.18"/>
    <n v="1.6863183275015479E-2"/>
    <m/>
  </r>
  <r>
    <s v="CUST021"/>
    <s v="Mary Davis"/>
    <x v="1"/>
    <x v="0"/>
    <x v="60"/>
    <n v="8"/>
    <n v="0.1"/>
    <d v="2024-07-05T00:00:00"/>
    <n v="497.99"/>
    <n v="547.78899999999999"/>
    <n v="-0.64650473505385675"/>
    <m/>
  </r>
  <r>
    <s v="CUST010"/>
    <s v="David Brown"/>
    <x v="4"/>
    <x v="4"/>
    <x v="61"/>
    <n v="9"/>
    <n v="0"/>
    <d v="2024-07-06T00:00:00"/>
    <n v="220.05"/>
    <n v="220.05"/>
    <n v="0.90946645125667192"/>
    <m/>
  </r>
  <r>
    <s v="CUST026"/>
    <s v="Mary Davis"/>
    <x v="1"/>
    <x v="3"/>
    <x v="62"/>
    <n v="17"/>
    <n v="0.1"/>
    <d v="2024-07-08T00:00:00"/>
    <n v="294.12"/>
    <n v="323.53199999999998"/>
    <n v="7.6918957706354152E-2"/>
    <m/>
  </r>
  <r>
    <s v="CUST003"/>
    <s v="James Davis"/>
    <x v="0"/>
    <x v="2"/>
    <x v="63"/>
    <n v="17"/>
    <n v="0.2"/>
    <d v="2024-07-08T00:00:00"/>
    <n v="201.11"/>
    <n v="241.33200000000002"/>
    <n v="9.4049904030710119E-2"/>
    <m/>
  </r>
  <r>
    <s v="CUST029"/>
    <s v="Emma Wilson"/>
    <x v="2"/>
    <x v="2"/>
    <x v="64"/>
    <n v="5"/>
    <n v="0.05"/>
    <d v="2024-07-09T00:00:00"/>
    <n v="261.27"/>
    <n v="274.33349999999996"/>
    <n v="-5.9449140987182868E-2"/>
    <m/>
  </r>
  <r>
    <s v="CUST003"/>
    <s v="James Wilson"/>
    <x v="3"/>
    <x v="3"/>
    <x v="65"/>
    <n v="15"/>
    <n v="0.15"/>
    <d v="2024-07-14T00:00:00"/>
    <n v="307.82"/>
    <n v="353.99299999999999"/>
    <n v="-0.15295254663187396"/>
    <m/>
  </r>
  <r>
    <s v="CUST002"/>
    <s v="Mary Davis"/>
    <x v="2"/>
    <x v="0"/>
    <x v="66"/>
    <n v="12"/>
    <n v="0.05"/>
    <d v="2024-07-15T00:00:00"/>
    <n v="333.05"/>
    <n v="349.70249999999999"/>
    <n v="0.56467071334033114"/>
    <m/>
  </r>
  <r>
    <s v="CUST020"/>
    <s v="David Brown"/>
    <x v="0"/>
    <x v="3"/>
    <x v="67"/>
    <n v="5"/>
    <n v="0.05"/>
    <d v="2024-07-15T00:00:00"/>
    <n v="455.97"/>
    <n v="478.76850000000002"/>
    <n v="-0.25601236746539879"/>
    <m/>
  </r>
  <r>
    <s v="CUST021"/>
    <s v="Mary Jackson"/>
    <x v="3"/>
    <x v="2"/>
    <x v="68"/>
    <n v="11"/>
    <n v="0.05"/>
    <d v="2024-07-21T00:00:00"/>
    <n v="242.31"/>
    <n v="254.4255"/>
    <n v="-0.21117166212534064"/>
    <m/>
  </r>
  <r>
    <s v="CUST008"/>
    <s v="James Davis"/>
    <x v="4"/>
    <x v="4"/>
    <x v="69"/>
    <n v="1"/>
    <n v="0.05"/>
    <d v="2024-07-29T00:00:00"/>
    <n v="344.06"/>
    <n v="361.26299999999998"/>
    <n v="-0.24372212074899666"/>
    <m/>
  </r>
  <r>
    <s v="CUST030"/>
    <s v="David Brown"/>
    <x v="4"/>
    <x v="2"/>
    <x v="70"/>
    <n v="1"/>
    <n v="0.05"/>
    <d v="2024-07-30T00:00:00"/>
    <n v="144.56"/>
    <n v="151.78800000000001"/>
    <n v="0.61206584957118937"/>
    <m/>
  </r>
  <r>
    <s v="CUST020"/>
    <s v="Linda Moore"/>
    <x v="2"/>
    <x v="4"/>
    <x v="71"/>
    <n v="19"/>
    <n v="0"/>
    <d v="2024-07-31T00:00:00"/>
    <n v="441.54"/>
    <n v="441.54"/>
    <n v="-0.44988789237668164"/>
    <m/>
  </r>
  <r>
    <s v="CUST024"/>
    <s v="David Brown"/>
    <x v="1"/>
    <x v="2"/>
    <x v="72"/>
    <n v="10"/>
    <n v="0.15"/>
    <d v="2024-08-05T00:00:00"/>
    <n v="114.7"/>
    <n v="131.905"/>
    <n v="0.4903570039090725"/>
    <m/>
  </r>
  <r>
    <s v="CUST012"/>
    <s v="David Anderson"/>
    <x v="2"/>
    <x v="0"/>
    <x v="73"/>
    <n v="5"/>
    <n v="0.2"/>
    <d v="2024-08-05T00:00:00"/>
    <n v="257.42"/>
    <n v="308.904"/>
    <n v="0.8976940766983651"/>
    <m/>
  </r>
  <r>
    <s v="CUST024"/>
    <s v="Emma Davis"/>
    <x v="0"/>
    <x v="2"/>
    <x v="74"/>
    <n v="13"/>
    <n v="0.2"/>
    <d v="2024-08-08T00:00:00"/>
    <n v="305.32"/>
    <n v="366.38400000000001"/>
    <n v="-0.20394340364208041"/>
    <m/>
  </r>
  <r>
    <s v="CUST012"/>
    <s v="Linda Wilson"/>
    <x v="0"/>
    <x v="2"/>
    <x v="75"/>
    <n v="5"/>
    <n v="0.15"/>
    <d v="2024-08-09T00:00:00"/>
    <n v="258.24"/>
    <n v="296.976"/>
    <n v="3.79178118262758E-2"/>
    <m/>
  </r>
  <r>
    <s v="CUST005"/>
    <s v="Linda Taylor"/>
    <x v="4"/>
    <x v="3"/>
    <x v="76"/>
    <n v="3"/>
    <n v="0"/>
    <d v="2024-08-15T00:00:00"/>
    <n v="441.47"/>
    <n v="441.47"/>
    <n v="-0.589270141278323"/>
    <m/>
  </r>
  <r>
    <s v="CUST004"/>
    <s v="Lisa Thomas"/>
    <x v="3"/>
    <x v="3"/>
    <x v="77"/>
    <n v="7"/>
    <n v="0.05"/>
    <d v="2024-08-18T00:00:00"/>
    <n v="172.26"/>
    <n v="180.87299999999999"/>
    <n v="1.1451541297508054"/>
    <m/>
  </r>
  <r>
    <s v="CUST026"/>
    <s v="Linda Wilson"/>
    <x v="0"/>
    <x v="4"/>
    <x v="78"/>
    <n v="1"/>
    <n v="0"/>
    <d v="2024-08-19T00:00:00"/>
    <n v="500.1"/>
    <n v="500.1"/>
    <n v="0.16208361077618022"/>
    <m/>
  </r>
  <r>
    <s v="CUST030"/>
    <s v="Mary Davis"/>
    <x v="1"/>
    <x v="1"/>
    <x v="79"/>
    <n v="18"/>
    <n v="0.1"/>
    <d v="2024-08-22T00:00:00"/>
    <n v="581.16"/>
    <n v="639.27599999999995"/>
    <n v="-0.4736927687054287"/>
    <m/>
  </r>
  <r>
    <s v="CUST007"/>
    <s v="David Brown"/>
    <x v="3"/>
    <x v="0"/>
    <x v="80"/>
    <n v="19"/>
    <n v="0"/>
    <d v="2024-08-30T00:00:00"/>
    <n v="271.88"/>
    <n v="271.88"/>
    <n v="0.68261464448073439"/>
    <m/>
  </r>
  <r>
    <s v="CUST020"/>
    <s v="Linda Jackson"/>
    <x v="1"/>
    <x v="3"/>
    <x v="81"/>
    <n v="17"/>
    <n v="0"/>
    <d v="2024-08-30T00:00:00"/>
    <n v="400.29"/>
    <n v="400.29"/>
    <n v="-0.30918343257351205"/>
    <m/>
  </r>
  <r>
    <s v="CUST028"/>
    <s v="Linda Brown"/>
    <x v="4"/>
    <x v="2"/>
    <x v="82"/>
    <n v="7"/>
    <n v="0.1"/>
    <d v="2024-09-01T00:00:00"/>
    <n v="177.77"/>
    <n v="195.54700000000003"/>
    <n v="0.35515390846496558"/>
    <m/>
  </r>
  <r>
    <s v="CUST005"/>
    <s v="Lisa Davis"/>
    <x v="4"/>
    <x v="0"/>
    <x v="83"/>
    <n v="7"/>
    <n v="0.05"/>
    <d v="2024-09-01T00:00:00"/>
    <n v="406.86"/>
    <n v="427.20300000000003"/>
    <n v="9.1726753091493279E-2"/>
    <m/>
  </r>
  <r>
    <s v="CUST015"/>
    <s v="David Thomas"/>
    <x v="0"/>
    <x v="1"/>
    <x v="84"/>
    <n v="4"/>
    <n v="0.1"/>
    <d v="2024-09-09T00:00:00"/>
    <n v="526"/>
    <n v="578.6"/>
    <n v="0.14285347637502227"/>
    <m/>
  </r>
  <r>
    <s v="CUST003"/>
    <s v="James Davis"/>
    <x v="2"/>
    <x v="2"/>
    <x v="85"/>
    <n v="17"/>
    <n v="0"/>
    <d v="2024-09-09T00:00:00"/>
    <n v="333.97"/>
    <n v="333.97"/>
    <n v="-0.34596929341926974"/>
    <m/>
  </r>
  <r>
    <s v="CUST023"/>
    <s v="David Brown"/>
    <x v="1"/>
    <x v="3"/>
    <x v="86"/>
    <n v="9"/>
    <n v="0"/>
    <d v="2024-09-11T00:00:00"/>
    <n v="305.8"/>
    <n v="305.8"/>
    <n v="0.65271832436763189"/>
    <m/>
  </r>
  <r>
    <s v="CUST004"/>
    <s v="Sarah Davis"/>
    <x v="0"/>
    <x v="4"/>
    <x v="87"/>
    <n v="19"/>
    <n v="0"/>
    <d v="2024-09-12T00:00:00"/>
    <n v="649.79"/>
    <n v="649.79"/>
    <n v="-0.200591420933808"/>
    <m/>
  </r>
  <r>
    <s v="CUST023"/>
    <s v="James Wilson"/>
    <x v="1"/>
    <x v="4"/>
    <x v="88"/>
    <n v="11"/>
    <n v="0.15"/>
    <d v="2024-09-14T00:00:00"/>
    <n v="441.53"/>
    <n v="507.75949999999995"/>
    <n v="9.5431982188802236E-2"/>
    <m/>
  </r>
  <r>
    <s v="CUST022"/>
    <s v="Linda Brown"/>
    <x v="2"/>
    <x v="0"/>
    <x v="89"/>
    <n v="16"/>
    <n v="0.05"/>
    <d v="2024-09-14T00:00:00"/>
    <n v="480.51"/>
    <n v="504.53550000000001"/>
    <n v="-0.12885827487761869"/>
    <m/>
  </r>
  <r>
    <s v="CUST007"/>
    <s v="Emma Taylor"/>
    <x v="0"/>
    <x v="3"/>
    <x v="90"/>
    <n v="4"/>
    <n v="0.1"/>
    <d v="2024-09-16T00:00:00"/>
    <n v="346.99"/>
    <n v="381.68900000000002"/>
    <n v="-0.33935817711406652"/>
    <m/>
  </r>
  <r>
    <s v="CUST013"/>
    <s v="Robert Anderson"/>
    <x v="2"/>
    <x v="3"/>
    <x v="91"/>
    <n v="1"/>
    <n v="0.1"/>
    <d v="2024-09-17T00:00:00"/>
    <n v="229.23"/>
    <n v="252.15299999999999"/>
    <n v="0.20293240624957051"/>
    <m/>
  </r>
  <r>
    <s v="CUST027"/>
    <s v="Emma Davis"/>
    <x v="1"/>
    <x v="4"/>
    <x v="92"/>
    <n v="13"/>
    <n v="0.15"/>
    <d v="2024-09-17T00:00:00"/>
    <n v="334.84"/>
    <n v="385.06599999999997"/>
    <n v="0.32388252361750502"/>
    <m/>
  </r>
  <r>
    <s v="CUST003"/>
    <s v="James Wilson"/>
    <x v="0"/>
    <x v="2"/>
    <x v="93"/>
    <n v="19"/>
    <n v="0.2"/>
    <d v="2024-09-18T00:00:00"/>
    <n v="231.79"/>
    <n v="278.14800000000002"/>
    <n v="-0.16622085699000819"/>
    <m/>
  </r>
  <r>
    <s v="CUST018"/>
    <s v="Mary Jackson"/>
    <x v="2"/>
    <x v="0"/>
    <x v="94"/>
    <n v="2"/>
    <n v="0.15"/>
    <d v="2024-09-22T00:00:00"/>
    <n v="328.54"/>
    <n v="377.82100000000003"/>
    <n v="-5.0522612025250893E-2"/>
    <m/>
  </r>
  <r>
    <s v="CUST020"/>
    <s v="James Taylor"/>
    <x v="2"/>
    <x v="0"/>
    <x v="95"/>
    <n v="6"/>
    <n v="0"/>
    <d v="2024-09-23T00:00:00"/>
    <n v="366.99"/>
    <n v="366.99"/>
    <n v="0.27846928543401489"/>
    <m/>
  </r>
  <r>
    <s v="CUST029"/>
    <s v="Emma Wilson"/>
    <x v="0"/>
    <x v="3"/>
    <x v="96"/>
    <n v="7"/>
    <n v="0.15"/>
    <d v="2024-09-24T00:00:00"/>
    <n v="348.96"/>
    <n v="401.30399999999997"/>
    <n v="2.8005831351185374E-2"/>
    <m/>
  </r>
  <r>
    <s v="CUST021"/>
    <s v="James Wilson"/>
    <x v="3"/>
    <x v="1"/>
    <x v="97"/>
    <n v="11"/>
    <n v="0.1"/>
    <d v="2024-09-24T00:00:00"/>
    <n v="542.62"/>
    <n v="596.88200000000006"/>
    <n v="-0.31421771076943489"/>
    <m/>
  </r>
  <r>
    <s v="CUST017"/>
    <s v="Sarah Davis"/>
    <x v="0"/>
    <x v="4"/>
    <x v="98"/>
    <n v="10"/>
    <n v="0.2"/>
    <d v="2024-09-29T00:00:00"/>
    <n v="297.69"/>
    <n v="357.22800000000001"/>
    <n v="9.1011331067926068E-2"/>
    <m/>
  </r>
  <r>
    <s v="CUST003"/>
    <s v="James Wilson"/>
    <x v="4"/>
    <x v="1"/>
    <x v="99"/>
    <n v="12"/>
    <n v="0"/>
    <d v="2024-09-29T00:00:00"/>
    <n v="451.1"/>
    <n v="451.1"/>
    <n v="-0.35050266573559896"/>
    <m/>
  </r>
  <r>
    <s v="CUST027"/>
    <s v="Emma Davis"/>
    <x v="3"/>
    <x v="0"/>
    <x v="100"/>
    <n v="17"/>
    <n v="0.1"/>
    <d v="2024-09-30T00:00:00"/>
    <n v="210.95"/>
    <n v="232.04499999999999"/>
    <n v="0.6898305373995256"/>
    <m/>
  </r>
  <r>
    <s v="CUST016"/>
    <s v="Michael Anderson"/>
    <x v="3"/>
    <x v="1"/>
    <x v="101"/>
    <n v="8"/>
    <n v="0.1"/>
    <d v="2024-09-30T00:00:00"/>
    <n v="445.59"/>
    <n v="490.149"/>
    <n v="2.413678182974982E-2"/>
    <m/>
  </r>
  <r>
    <s v="CUST008"/>
    <s v="David Davis"/>
    <x v="4"/>
    <x v="2"/>
    <x v="102"/>
    <n v="13"/>
    <n v="0.2"/>
    <d v="2024-10-02T00:00:00"/>
    <n v="202.82"/>
    <n v="243.38399999999999"/>
    <n v="-8.7566192349791502E-2"/>
    <m/>
  </r>
  <r>
    <s v="CUST012"/>
    <s v="Lisa Davis"/>
    <x v="3"/>
    <x v="2"/>
    <x v="103"/>
    <n v="17"/>
    <n v="0"/>
    <d v="2024-10-05T00:00:00"/>
    <n v="231.32"/>
    <n v="231.32"/>
    <n v="0.39041813917798746"/>
    <m/>
  </r>
  <r>
    <s v="CUST025"/>
    <s v="Mary Jackson"/>
    <x v="1"/>
    <x v="3"/>
    <x v="104"/>
    <n v="8"/>
    <n v="0"/>
    <d v="2024-10-10T00:00:00"/>
    <n v="450.29"/>
    <n v="450.29"/>
    <n v="-0.25255336017535401"/>
    <m/>
  </r>
  <r>
    <s v="CUST014"/>
    <s v="Sarah Davis"/>
    <x v="2"/>
    <x v="0"/>
    <x v="105"/>
    <n v="8"/>
    <n v="0.2"/>
    <d v="2024-10-12T00:00:00"/>
    <n v="307.72000000000003"/>
    <n v="369.26400000000001"/>
    <n v="0.12429026018593634"/>
    <m/>
  </r>
  <r>
    <s v="CUST008"/>
    <s v="James Wilson"/>
    <x v="1"/>
    <x v="0"/>
    <x v="106"/>
    <n v="19"/>
    <n v="0.15"/>
    <d v="2024-10-12T00:00:00"/>
    <n v="367.59"/>
    <n v="422.72849999999994"/>
    <n v="0.77928852877518162"/>
    <m/>
  </r>
  <r>
    <s v="CUST015"/>
    <s v="James Wilson"/>
    <x v="0"/>
    <x v="1"/>
    <x v="107"/>
    <n v="9"/>
    <n v="0.2"/>
    <d v="2024-10-15T00:00:00"/>
    <n v="769.46"/>
    <n v="923.35200000000009"/>
    <n v="-0.62118565650894653"/>
    <m/>
  </r>
  <r>
    <s v="CUST025"/>
    <s v="Emma Taylor"/>
    <x v="4"/>
    <x v="1"/>
    <x v="108"/>
    <n v="14"/>
    <n v="0.1"/>
    <d v="2024-10-16T00:00:00"/>
    <n v="327.92"/>
    <n v="360.71199999999999"/>
    <n v="0.78656804490126397"/>
    <m/>
  </r>
  <r>
    <s v="CUST019"/>
    <s v="Linda Jackson"/>
    <x v="4"/>
    <x v="1"/>
    <x v="109"/>
    <n v="7"/>
    <n v="0.15"/>
    <d v="2024-10-16T00:00:00"/>
    <n v="553.29999999999995"/>
    <n v="636.29499999999996"/>
    <n v="-0.24710997088847761"/>
    <m/>
  </r>
  <r>
    <s v="CUST024"/>
    <s v="Emma Taylor"/>
    <x v="1"/>
    <x v="0"/>
    <x v="110"/>
    <n v="16"/>
    <n v="0.1"/>
    <d v="2024-10-17T00:00:00"/>
    <n v="352.86"/>
    <n v="388.14600000000002"/>
    <n v="-0.28832459344202077"/>
    <m/>
  </r>
  <r>
    <s v="CUST027"/>
    <s v="James Wilson"/>
    <x v="0"/>
    <x v="1"/>
    <x v="111"/>
    <n v="17"/>
    <n v="0.1"/>
    <d v="2024-10-19T00:00:00"/>
    <n v="313.91000000000003"/>
    <n v="345.30100000000004"/>
    <n v="0.71109709419843148"/>
    <m/>
  </r>
  <r>
    <s v="CUST006"/>
    <s v="David Anderson"/>
    <x v="0"/>
    <x v="3"/>
    <x v="112"/>
    <n v="1"/>
    <n v="0.15"/>
    <d v="2024-10-19T00:00:00"/>
    <n v="355.1"/>
    <n v="408.36500000000001"/>
    <n v="-0.35404361558633052"/>
    <m/>
  </r>
  <r>
    <s v="CUST009"/>
    <s v="Emma Davis"/>
    <x v="2"/>
    <x v="2"/>
    <x v="113"/>
    <n v="1"/>
    <n v="0"/>
    <d v="2024-10-20T00:00:00"/>
    <n v="192.76"/>
    <n v="192.76"/>
    <n v="-0.1425773650488962"/>
    <m/>
  </r>
  <r>
    <s v="CUST003"/>
    <s v="Linda Moore"/>
    <x v="3"/>
    <x v="1"/>
    <x v="114"/>
    <n v="1"/>
    <n v="0.2"/>
    <d v="2024-10-28T00:00:00"/>
    <n v="264.44"/>
    <n v="317.32799999999997"/>
    <n v="4.1961003796759912E-2"/>
    <m/>
  </r>
  <r>
    <s v="CUST012"/>
    <s v="David Brown"/>
    <x v="0"/>
    <x v="2"/>
    <x v="115"/>
    <n v="15"/>
    <n v="0"/>
    <d v="2024-10-30T00:00:00"/>
    <n v="172.21"/>
    <n v="172.21"/>
    <n v="0.81336469085260488"/>
    <m/>
  </r>
  <r>
    <s v="CUST013"/>
    <s v="Linda Wilson"/>
    <x v="4"/>
    <x v="0"/>
    <x v="116"/>
    <n v="4"/>
    <n v="0.05"/>
    <d v="2024-11-01T00:00:00"/>
    <n v="474.66"/>
    <n v="498.39300000000003"/>
    <n v="-0.18803938835961884"/>
    <m/>
  </r>
  <r>
    <s v="CUST008"/>
    <s v="James Wilson"/>
    <x v="1"/>
    <x v="4"/>
    <x v="117"/>
    <n v="14"/>
    <n v="0.05"/>
    <d v="2024-11-03T00:00:00"/>
    <n v="433.58"/>
    <n v="455.25900000000001"/>
    <n v="-3.5889649188538841E-3"/>
    <m/>
  </r>
  <r>
    <s v="CUST025"/>
    <s v="Lisa Davis"/>
    <x v="1"/>
    <x v="0"/>
    <x v="118"/>
    <n v="2"/>
    <n v="0.15"/>
    <d v="2024-11-09T00:00:00"/>
    <n v="343.6"/>
    <n v="395.14000000000004"/>
    <n v="-5.2732094440816238E-2"/>
    <m/>
  </r>
  <r>
    <s v="CUST026"/>
    <s v="Mary Wilson"/>
    <x v="3"/>
    <x v="3"/>
    <x v="119"/>
    <n v="4"/>
    <n v="0.05"/>
    <d v="2024-11-09T00:00:00"/>
    <n v="318.3"/>
    <n v="334.21500000000003"/>
    <n v="0.12601197129396538"/>
    <m/>
  </r>
  <r>
    <s v="CUST001"/>
    <s v="Lisa Thomas"/>
    <x v="3"/>
    <x v="3"/>
    <x v="120"/>
    <n v="3"/>
    <n v="0.05"/>
    <d v="2024-11-12T00:00:00"/>
    <n v="358.41"/>
    <n v="376.33050000000003"/>
    <n v="7.8939067834347551E-2"/>
    <m/>
  </r>
  <r>
    <s v="CUST028"/>
    <s v="Linda Brown"/>
    <x v="2"/>
    <x v="1"/>
    <x v="121"/>
    <n v="5"/>
    <n v="0"/>
    <d v="2024-11-15T00:00:00"/>
    <n v="581.5"/>
    <n v="581.5"/>
    <n v="-0.12764292654405382"/>
    <m/>
  </r>
  <r>
    <s v="CUST025"/>
    <s v="Lisa Thomas"/>
    <x v="1"/>
    <x v="4"/>
    <x v="122"/>
    <n v="10"/>
    <n v="0.1"/>
    <d v="2024-11-16T00:00:00"/>
    <n v="410.9"/>
    <n v="451.99"/>
    <n v="-0.29226462703043682"/>
    <m/>
  </r>
  <r>
    <s v="CUST019"/>
    <s v="James Taylor"/>
    <x v="2"/>
    <x v="2"/>
    <x v="123"/>
    <n v="14"/>
    <n v="0"/>
    <d v="2024-11-17T00:00:00"/>
    <n v="179.51"/>
    <n v="179.51"/>
    <n v="0.77963623196479304"/>
    <m/>
  </r>
  <r>
    <s v="CUST004"/>
    <s v="James Taylor"/>
    <x v="4"/>
    <x v="1"/>
    <x v="124"/>
    <n v="18"/>
    <n v="0.2"/>
    <d v="2024-11-17T00:00:00"/>
    <n v="511.14"/>
    <n v="613.36799999999994"/>
    <n v="-0.44693821653558707"/>
    <m/>
  </r>
  <r>
    <s v="CUST024"/>
    <s v="James Wilson"/>
    <x v="3"/>
    <x v="2"/>
    <x v="125"/>
    <n v="1"/>
    <n v="0.15"/>
    <d v="2024-11-17T00:00:00"/>
    <n v="150.18"/>
    <n v="172.70699999999999"/>
    <n v="0.99593904319895843"/>
    <m/>
  </r>
  <r>
    <s v="CUST002"/>
    <s v="Linda Brown"/>
    <x v="1"/>
    <x v="2"/>
    <x v="126"/>
    <n v="15"/>
    <n v="0"/>
    <d v="2024-11-19T00:00:00"/>
    <n v="352.65"/>
    <n v="352.65"/>
    <n v="-4.2719713027881946E-2"/>
    <m/>
  </r>
  <r>
    <s v="CUST009"/>
    <s v="Emma Wilson"/>
    <x v="2"/>
    <x v="3"/>
    <x v="127"/>
    <n v="10"/>
    <n v="0"/>
    <d v="2024-11-19T00:00:00"/>
    <n v="472.62"/>
    <n v="472.62"/>
    <n v="-0.31929232113631484"/>
    <m/>
  </r>
  <r>
    <s v="CUST029"/>
    <s v="Lisa Thomas"/>
    <x v="1"/>
    <x v="2"/>
    <x v="128"/>
    <n v="4"/>
    <n v="0.15"/>
    <d v="2024-11-19T00:00:00"/>
    <n v="195.33"/>
    <n v="224.62950000000001"/>
    <n v="-0.71876019930807888"/>
    <m/>
  </r>
  <r>
    <s v="CUST027"/>
    <s v="James Wilson"/>
    <x v="0"/>
    <x v="2"/>
    <x v="129"/>
    <n v="19"/>
    <n v="0"/>
    <d v="2024-11-20T00:00:00"/>
    <n v="64.63"/>
    <n v="64.63"/>
    <n v="3.6941317550578319"/>
    <m/>
  </r>
  <r>
    <s v="CUST011"/>
    <s v="Emma Wilson"/>
    <x v="1"/>
    <x v="0"/>
    <x v="130"/>
    <n v="5"/>
    <n v="0.05"/>
    <d v="2024-11-20T00:00:00"/>
    <n v="461.12"/>
    <n v="484.17599999999999"/>
    <n v="-5.2081616507894689E-2"/>
    <m/>
  </r>
  <r>
    <s v="CUST021"/>
    <s v="Emma Davis"/>
    <x v="4"/>
    <x v="0"/>
    <x v="131"/>
    <n v="8"/>
    <n v="0.05"/>
    <d v="2024-11-26T00:00:00"/>
    <n v="437.11"/>
    <n v="458.96550000000002"/>
    <n v="-0.25769377890600548"/>
    <m/>
  </r>
  <r>
    <s v="CUST014"/>
    <s v="David Anderson"/>
    <x v="2"/>
    <x v="3"/>
    <x v="132"/>
    <n v="8"/>
    <n v="0.1"/>
    <d v="2024-11-26T00:00:00"/>
    <n v="268.97000000000003"/>
    <n v="295.86700000000002"/>
    <n v="0.24263930855175314"/>
    <m/>
  </r>
  <r>
    <s v="CUST018"/>
    <s v="Lisa Thomas"/>
    <x v="2"/>
    <x v="2"/>
    <x v="133"/>
    <n v="1"/>
    <n v="0"/>
    <d v="2024-11-28T00:00:00"/>
    <n v="265.26"/>
    <n v="265.26"/>
    <n v="-0.15691208625499511"/>
    <m/>
  </r>
  <r>
    <s v="CUST001"/>
    <s v="Sarah Anderson"/>
    <x v="0"/>
    <x v="2"/>
    <x v="134"/>
    <n v="19"/>
    <n v="0.2"/>
    <d v="2024-11-29T00:00:00"/>
    <n v="178.91"/>
    <n v="214.69200000000001"/>
    <n v="-6.778827343356994E-2"/>
    <m/>
  </r>
  <r>
    <s v="CUST007"/>
    <s v="Emma Davis"/>
    <x v="3"/>
    <x v="4"/>
    <x v="135"/>
    <n v="3"/>
    <n v="0.05"/>
    <d v="2024-11-30T00:00:00"/>
    <n v="356.5"/>
    <n v="374.32499999999999"/>
    <n v="-1.6452614790564826E-2"/>
    <m/>
  </r>
  <r>
    <s v="CUST015"/>
    <s v="David Anderson"/>
    <x v="0"/>
    <x v="3"/>
    <x v="136"/>
    <n v="4"/>
    <n v="0.2"/>
    <d v="2024-12-04T00:00:00"/>
    <n v="229.65"/>
    <n v="275.58000000000004"/>
    <n v="-0.37607139809068635"/>
    <m/>
  </r>
  <r>
    <s v="CUST015"/>
    <s v="Emma Davis"/>
    <x v="4"/>
    <x v="2"/>
    <x v="137"/>
    <n v="8"/>
    <n v="0.05"/>
    <d v="2024-12-05T00:00:00"/>
    <n v="121.54"/>
    <n v="127.617"/>
    <n v="0.57507718763434545"/>
    <m/>
  </r>
  <r>
    <s v="CUST002"/>
    <s v="Emma Wilson"/>
    <x v="2"/>
    <x v="3"/>
    <x v="138"/>
    <n v="19"/>
    <n v="0.05"/>
    <d v="2024-12-12T00:00:00"/>
    <n v="268"/>
    <n v="281.39999999999998"/>
    <n v="0.77719191593365022"/>
    <m/>
  </r>
  <r>
    <s v="CUST001"/>
    <s v="Michael Anderson"/>
    <x v="4"/>
    <x v="3"/>
    <x v="139"/>
    <n v="16"/>
    <n v="0.15"/>
    <d v="2024-12-14T00:00:00"/>
    <n v="426.16"/>
    <n v="490.084"/>
    <n v="3.9170104784044271E-2"/>
    <m/>
  </r>
  <r>
    <s v="CUST027"/>
    <s v="Linda Wilson"/>
    <x v="4"/>
    <x v="2"/>
    <x v="140"/>
    <n v="10"/>
    <n v="0.15"/>
    <d v="2024-12-14T00:00:00"/>
    <n v="316.32"/>
    <n v="363.76799999999997"/>
    <n v="-0.17286272823764928"/>
    <m/>
  </r>
  <r>
    <s v="CUST026"/>
    <s v="Emma Taylor"/>
    <x v="1"/>
    <x v="0"/>
    <x v="141"/>
    <n v="9"/>
    <n v="0"/>
    <d v="2024-12-20T00:00:00"/>
    <n v="492.5"/>
    <n v="492.5"/>
    <n v="-5.651933791400672E-2"/>
    <m/>
  </r>
  <r>
    <s v="CUST026"/>
    <s v="Sarah Anderson"/>
    <x v="0"/>
    <x v="2"/>
    <x v="142"/>
    <n v="19"/>
    <n v="0.2"/>
    <d v="2024-12-21T00:00:00"/>
    <n v="232.33"/>
    <n v="278.79600000000005"/>
    <n v="-0.66580009813458207"/>
    <m/>
  </r>
  <r>
    <s v="CUST022"/>
    <s v="Lisa Thomas"/>
    <x v="4"/>
    <x v="4"/>
    <x v="143"/>
    <n v="16"/>
    <n v="0.05"/>
    <d v="2024-12-24T00:00:00"/>
    <n v="165.97"/>
    <n v="174.26849999999999"/>
    <n v="3.0940164335574272"/>
    <m/>
  </r>
  <r>
    <s v="CUST004"/>
    <s v="Mary Davis"/>
    <x v="3"/>
    <x v="1"/>
    <x v="144"/>
    <n v="6"/>
    <n v="0.15"/>
    <d v="2024-12-25T00:00:00"/>
    <n v="675.5"/>
    <n v="776.82500000000005"/>
    <n v="-0.78818688578223495"/>
    <m/>
  </r>
  <r>
    <s v="CUST001"/>
    <s v="David Anderson"/>
    <x v="3"/>
    <x v="1"/>
    <x v="145"/>
    <n v="13"/>
    <n v="0.2"/>
    <d v="2024-12-25T00:00:00"/>
    <n v="134.66"/>
    <n v="161.59199999999998"/>
    <n v="3.0212380443177085"/>
    <m/>
  </r>
  <r>
    <s v="CUST022"/>
    <s v="James Wilson"/>
    <x v="0"/>
    <x v="0"/>
    <x v="146"/>
    <n v="14"/>
    <n v="0.1"/>
    <d v="2024-12-30T00:00:00"/>
    <n v="487.36"/>
    <n v="536.096"/>
    <n v="-0.51055185811684234"/>
    <m/>
  </r>
  <r>
    <s v="CUST011"/>
    <s v="Linda Moore"/>
    <x v="4"/>
    <x v="1"/>
    <x v="147"/>
    <n v="11"/>
    <n v="0.05"/>
    <d v="2025-01-01T00:00:00"/>
    <n v="314.74"/>
    <n v="330.47700000000003"/>
    <n v="-0.53302847829039701"/>
    <m/>
  </r>
  <r>
    <s v="CUST028"/>
    <s v="Lisa Davis"/>
    <x v="3"/>
    <x v="4"/>
    <x v="148"/>
    <n v="1"/>
    <n v="0.2"/>
    <d v="2025-01-01T00:00:00"/>
    <n v="111.39"/>
    <n v="133.66800000000001"/>
    <n v="1.8589942473014027"/>
    <m/>
  </r>
  <r>
    <s v="CUST011"/>
    <s v="Linda Wilson"/>
    <x v="3"/>
    <x v="0"/>
    <x v="149"/>
    <n v="18"/>
    <n v="0.1"/>
    <d v="2025-01-02T00:00:00"/>
    <n v="318.47000000000003"/>
    <n v="350.31700000000001"/>
    <n v="-0.15778348009902449"/>
    <m/>
  </r>
  <r>
    <s v="CUST028"/>
    <s v="James Wilson"/>
    <x v="4"/>
    <x v="4"/>
    <x v="150"/>
    <n v="10"/>
    <n v="0.1"/>
    <d v="2025-01-03T00:00:00"/>
    <n v="301.75"/>
    <n v="331.92500000000001"/>
    <n v="0.16801556942487092"/>
    <m/>
  </r>
  <r>
    <s v="CUST016"/>
    <s v="James Taylor"/>
    <x v="2"/>
    <x v="1"/>
    <x v="151"/>
    <n v="5"/>
    <n v="0.05"/>
    <d v="2025-01-03T00:00:00"/>
    <n v="413.36"/>
    <n v="434.02800000000002"/>
    <n v="-9.2389368327912887E-3"/>
    <m/>
  </r>
  <r>
    <s v="CUST010"/>
    <s v="Linda Wilson"/>
    <x v="0"/>
    <x v="3"/>
    <x v="152"/>
    <n v="18"/>
    <n v="0.05"/>
    <d v="2025-01-06T00:00:00"/>
    <n v="286.68"/>
    <n v="301.01400000000001"/>
    <n v="0.3583780837170461"/>
    <m/>
  </r>
  <r>
    <s v="CUST013"/>
    <s v="Mary Wilson"/>
    <x v="3"/>
    <x v="1"/>
    <x v="153"/>
    <n v="19"/>
    <n v="0.05"/>
    <d v="2025-01-10T00:00:00"/>
    <n v="556.30999999999995"/>
    <n v="584.12549999999999"/>
    <n v="-9.9574787820830374E-2"/>
    <m/>
  </r>
  <r>
    <s v="CUST015"/>
    <s v="Robert Anderson"/>
    <x v="2"/>
    <x v="3"/>
    <x v="154"/>
    <n v="11"/>
    <n v="0.1"/>
    <d v="2025-01-12T00:00:00"/>
    <n v="332.19"/>
    <n v="365.40899999999999"/>
    <n v="0.59422887270520419"/>
    <m/>
  </r>
  <r>
    <s v="CUST015"/>
    <s v="James Wilson"/>
    <x v="3"/>
    <x v="2"/>
    <x v="155"/>
    <n v="5"/>
    <n v="0.2"/>
    <d v="2025-01-13T00:00:00"/>
    <n v="336.24"/>
    <n v="403.488"/>
    <n v="-0.77410912378584473"/>
    <m/>
  </r>
  <r>
    <s v="CUST015"/>
    <s v="David Thomas"/>
    <x v="0"/>
    <x v="1"/>
    <x v="156"/>
    <n v="9"/>
    <n v="0.05"/>
    <d v="2025-01-16T00:00:00"/>
    <n v="180.39"/>
    <n v="189.40949999999998"/>
    <n v="1.8341627827369196"/>
    <m/>
  </r>
  <r>
    <s v="CUST008"/>
    <s v="Lisa Thomas"/>
    <x v="4"/>
    <x v="1"/>
    <x v="157"/>
    <n v="2"/>
    <n v="0.1"/>
    <d v="2025-01-17T00:00:00"/>
    <n v="484.35"/>
    <n v="532.78500000000008"/>
    <n v="0.16201350886809818"/>
    <m/>
  </r>
  <r>
    <s v="CUST008"/>
    <s v="Mary Davis"/>
    <x v="4"/>
    <x v="4"/>
    <x v="158"/>
    <n v="7"/>
    <n v="0"/>
    <d v="2025-01-17T00:00:00"/>
    <n v="562.82000000000005"/>
    <n v="562.82000000000005"/>
    <n v="-0.10583588521719672"/>
    <m/>
  </r>
  <r>
    <s v="CUST023"/>
    <s v="James Taylor"/>
    <x v="2"/>
    <x v="1"/>
    <x v="159"/>
    <n v="6"/>
    <n v="0.2"/>
    <d v="2025-01-17T00:00:00"/>
    <n v="447.34"/>
    <n v="536.80799999999999"/>
    <n v="0.45091832537510956"/>
    <m/>
  </r>
  <r>
    <s v="CUST024"/>
    <s v="Linda Taylor"/>
    <x v="3"/>
    <x v="1"/>
    <x v="160"/>
    <n v="12"/>
    <n v="0.2"/>
    <d v="2025-01-20T00:00:00"/>
    <n v="649.04999999999995"/>
    <n v="778.8599999999999"/>
    <n v="-0.60518174310682726"/>
    <m/>
  </r>
  <r>
    <s v="CUST018"/>
    <s v="Lisa Davis"/>
    <x v="3"/>
    <x v="0"/>
    <x v="161"/>
    <n v="11"/>
    <n v="0.2"/>
    <d v="2025-01-21T00:00:00"/>
    <n v="205"/>
    <n v="246"/>
    <n v="-8.6600899100899131E-2"/>
    <m/>
  </r>
  <r>
    <s v="CUST030"/>
    <s v="Sarah Anderson"/>
    <x v="0"/>
    <x v="1"/>
    <x v="162"/>
    <n v="17"/>
    <n v="0.1"/>
    <d v="2025-01-27T00:00:00"/>
    <n v="263.32"/>
    <n v="289.65199999999999"/>
    <n v="0.8968829038211773"/>
    <m/>
  </r>
  <r>
    <s v="CUST030"/>
    <s v="Mary Davis"/>
    <x v="1"/>
    <x v="1"/>
    <x v="163"/>
    <n v="5"/>
    <n v="0.2"/>
    <d v="2025-02-02T00:00:00"/>
    <n v="443.99"/>
    <n v="532.78800000000001"/>
    <n v="-1.0720913890340448E-2"/>
    <m/>
  </r>
  <r>
    <s v="CUST015"/>
    <s v="Lisa Thomas"/>
    <x v="1"/>
    <x v="0"/>
    <x v="164"/>
    <n v="9"/>
    <n v="0.1"/>
    <d v="2025-02-04T00:00:00"/>
    <n v="395.31"/>
    <n v="434.84100000000001"/>
    <n v="-0.24663958910097619"/>
    <m/>
  </r>
  <r>
    <s v="CUST002"/>
    <s v="Lisa Davis"/>
    <x v="0"/>
    <x v="4"/>
    <x v="165"/>
    <n v="7"/>
    <n v="0.1"/>
    <d v="2025-02-05T00:00:00"/>
    <n v="335.04"/>
    <n v="368.54400000000004"/>
    <n v="-0.10319734058627984"/>
    <m/>
  </r>
  <r>
    <s v="CUST024"/>
    <s v="Linda Wilson"/>
    <x v="4"/>
    <x v="1"/>
    <x v="166"/>
    <n v="16"/>
    <n v="0.1"/>
    <d v="2025-02-07T00:00:00"/>
    <n v="333.85"/>
    <n v="367.23500000000001"/>
    <n v="0.76748261174313903"/>
    <m/>
  </r>
  <r>
    <s v="CUST004"/>
    <s v="James Davis"/>
    <x v="1"/>
    <x v="4"/>
    <x v="167"/>
    <n v="6"/>
    <n v="0.1"/>
    <d v="2025-02-10T00:00:00"/>
    <n v="531.05999999999995"/>
    <n v="584.16599999999994"/>
    <n v="-0.56277168524930221"/>
    <m/>
  </r>
  <r>
    <s v="CUST004"/>
    <s v="Mary Davis"/>
    <x v="2"/>
    <x v="4"/>
    <x v="168"/>
    <n v="19"/>
    <n v="0.1"/>
    <d v="2025-02-15T00:00:00"/>
    <n v="232.19"/>
    <n v="255.40899999999999"/>
    <n v="0.94519639991627702"/>
    <m/>
  </r>
  <r>
    <s v="CUST028"/>
    <s v="James Wilson"/>
    <x v="0"/>
    <x v="2"/>
    <x v="169"/>
    <n v="14"/>
    <n v="0.2"/>
    <d v="2025-02-17T00:00:00"/>
    <n v="223.04"/>
    <n v="267.64800000000002"/>
    <n v="-0.24154875271246928"/>
    <m/>
  </r>
  <r>
    <s v="CUST012"/>
    <s v="Lisa Thomas"/>
    <x v="3"/>
    <x v="1"/>
    <x v="170"/>
    <n v="4"/>
    <n v="0"/>
    <d v="2025-02-19T00:00:00"/>
    <n v="422.92"/>
    <n v="422.92"/>
    <n v="0.21748794098174587"/>
    <m/>
  </r>
  <r>
    <s v="CUST026"/>
    <s v="David Brown"/>
    <x v="0"/>
    <x v="2"/>
    <x v="171"/>
    <n v="3"/>
    <n v="0"/>
    <d v="2025-02-20T00:00:00"/>
    <n v="257.45"/>
    <n v="257.45"/>
    <n v="0.15539910662264517"/>
    <m/>
  </r>
  <r>
    <s v="CUST009"/>
    <s v="Mary Davis"/>
    <x v="3"/>
    <x v="0"/>
    <x v="172"/>
    <n v="2"/>
    <n v="0.2"/>
    <d v="2025-02-21T00:00:00"/>
    <n v="380.75"/>
    <n v="456.9"/>
    <n v="-0.40808350772799473"/>
    <m/>
  </r>
  <r>
    <s v="CUST003"/>
    <s v="Sarah Anderson"/>
    <x v="2"/>
    <x v="0"/>
    <x v="173"/>
    <n v="15"/>
    <n v="0.2"/>
    <d v="2025-02-24T00:00:00"/>
    <n v="225.37"/>
    <n v="270.44400000000002"/>
    <n v="1.2976940989379226"/>
    <m/>
  </r>
  <r>
    <s v="CUST002"/>
    <s v="Mary Jackson"/>
    <x v="4"/>
    <x v="4"/>
    <x v="174"/>
    <n v="12"/>
    <n v="0.2"/>
    <d v="2025-02-24T00:00:00"/>
    <n v="582.55999999999995"/>
    <n v="699.07199999999989"/>
    <n v="-0.37311984773392992"/>
    <m/>
  </r>
  <r>
    <s v="CUST013"/>
    <s v="Linda Taylor"/>
    <x v="4"/>
    <x v="0"/>
    <x v="175"/>
    <n v="2"/>
    <n v="0.15"/>
    <d v="2025-02-25T00:00:00"/>
    <n v="344.91"/>
    <n v="396.6465"/>
    <n v="-0.1847934307936476"/>
    <m/>
  </r>
  <r>
    <s v="CUST018"/>
    <s v="Mary Davis"/>
    <x v="4"/>
    <x v="1"/>
    <x v="176"/>
    <n v="18"/>
    <n v="0.2"/>
    <d v="2025-02-27T00:00:00"/>
    <n v="330.79"/>
    <n v="396.94800000000004"/>
    <n v="0.23611497394101355"/>
    <m/>
  </r>
  <r>
    <s v="CUST017"/>
    <s v="Mary Davis"/>
    <x v="4"/>
    <x v="1"/>
    <x v="177"/>
    <n v="8"/>
    <n v="0.1"/>
    <d v="2025-03-01T00:00:00"/>
    <n v="460"/>
    <n v="506"/>
    <n v="7.5775510403725224E-2"/>
    <m/>
  </r>
  <r>
    <s v="CUST004"/>
    <s v="Linda Wilson"/>
    <x v="1"/>
    <x v="0"/>
    <x v="178"/>
    <n v="6"/>
    <n v="0"/>
    <d v="2025-03-02T00:00:00"/>
    <n v="439.88"/>
    <n v="439.88"/>
    <n v="-0.35389064190817415"/>
    <m/>
  </r>
  <r>
    <s v="CUST028"/>
    <s v="Sarah Davis"/>
    <x v="3"/>
    <x v="0"/>
    <x v="179"/>
    <n v="8"/>
    <n v="0.1"/>
    <d v="2025-03-05T00:00:00"/>
    <n v="255.79"/>
    <n v="281.36899999999997"/>
    <n v="-0.29744412542926307"/>
    <m/>
  </r>
  <r>
    <s v="CUST028"/>
    <s v="Mary Wilson"/>
    <x v="3"/>
    <x v="0"/>
    <x v="180"/>
    <n v="15"/>
    <n v="0.2"/>
    <d v="2025-03-08T00:00:00"/>
    <n v="159.74"/>
    <n v="191.68800000000002"/>
    <n v="1.1318762770944348"/>
    <m/>
  </r>
  <r>
    <s v="CUST014"/>
    <s v="Emma Davis"/>
    <x v="2"/>
    <x v="0"/>
    <x v="181"/>
    <n v="18"/>
    <n v="0.05"/>
    <d v="2025-03-09T00:00:00"/>
    <n v="404.39"/>
    <n v="424.60949999999997"/>
    <n v="-0.58770520301825802"/>
    <m/>
  </r>
  <r>
    <s v="CUST003"/>
    <s v="Emma Davis"/>
    <x v="1"/>
    <x v="4"/>
    <x v="182"/>
    <n v="18"/>
    <n v="0.05"/>
    <d v="2025-03-10T00:00:00"/>
    <n v="187.57"/>
    <n v="196.9485"/>
    <n v="0.97141945482724046"/>
    <m/>
  </r>
  <r>
    <s v="CUST029"/>
    <s v="David Brown"/>
    <x v="0"/>
    <x v="1"/>
    <x v="183"/>
    <n v="2"/>
    <n v="0.05"/>
    <d v="2025-03-11T00:00:00"/>
    <n v="410.87"/>
    <n v="431.4135"/>
    <n v="0.13867372656015159"/>
    <m/>
  </r>
  <r>
    <s v="CUST021"/>
    <s v="David Brown"/>
    <x v="0"/>
    <x v="3"/>
    <x v="184"/>
    <n v="14"/>
    <n v="0.2"/>
    <d v="2025-03-17T00:00:00"/>
    <n v="275.77999999999997"/>
    <n v="330.93599999999998"/>
    <n v="0.51634126283086113"/>
    <m/>
  </r>
  <r>
    <s v="CUST007"/>
    <s v="David Brown"/>
    <x v="0"/>
    <x v="1"/>
    <x v="185"/>
    <n v="18"/>
    <n v="0"/>
    <d v="2025-03-18T00:00:00"/>
    <n v="746.74"/>
    <n v="746.74"/>
    <n v="-0.53837655424542519"/>
    <m/>
  </r>
  <r>
    <s v="CUST009"/>
    <s v="Linda Taylor"/>
    <x v="2"/>
    <x v="1"/>
    <x v="186"/>
    <n v="9"/>
    <n v="0.1"/>
    <d v="2025-03-20T00:00:00"/>
    <n v="310.24"/>
    <n v="341.26400000000001"/>
    <n v="-1.0428905037494657E-2"/>
    <m/>
  </r>
  <r>
    <s v="CUST023"/>
    <s v="Mary Wilson"/>
    <x v="2"/>
    <x v="1"/>
    <x v="187"/>
    <n v="1"/>
    <n v="0"/>
    <d v="2025-03-22T00:00:00"/>
    <n v="341.12"/>
    <n v="341.12"/>
    <n v="-0.32789047842401498"/>
    <m/>
  </r>
  <r>
    <s v="CUST029"/>
    <s v="Michael Anderson"/>
    <x v="3"/>
    <x v="2"/>
    <x v="188"/>
    <n v="15"/>
    <n v="0.2"/>
    <d v="2025-03-25T00:00:00"/>
    <n v="91.71"/>
    <n v="110.05199999999999"/>
    <n v="1.5826536398133206"/>
    <m/>
  </r>
  <r>
    <s v="CUST009"/>
    <s v="Michael Anderson"/>
    <x v="2"/>
    <x v="3"/>
    <x v="189"/>
    <n v="11"/>
    <n v="0.2"/>
    <d v="2025-03-26T00:00:00"/>
    <n v="331.59"/>
    <n v="397.90799999999996"/>
    <n v="-0.35643656322567024"/>
    <m/>
  </r>
  <r>
    <s v="CUST007"/>
    <s v="James Davis"/>
    <x v="2"/>
    <x v="1"/>
    <x v="190"/>
    <n v="9"/>
    <n v="0"/>
    <d v="2025-03-27T00:00:00"/>
    <n v="381.07"/>
    <n v="381.07"/>
    <n v="-1.4997244600729459E-2"/>
    <m/>
  </r>
  <r>
    <s v="CUST030"/>
    <s v="Linda Taylor"/>
    <x v="3"/>
    <x v="0"/>
    <x v="191"/>
    <n v="10"/>
    <n v="0.15"/>
    <d v="2025-03-27T00:00:00"/>
    <n v="255.24"/>
    <n v="293.52600000000001"/>
    <n v="0.94074942387872806"/>
    <m/>
  </r>
  <r>
    <s v="CUST018"/>
    <s v="David Anderson"/>
    <x v="4"/>
    <x v="1"/>
    <x v="192"/>
    <n v="14"/>
    <n v="0.05"/>
    <d v="2025-03-29T00:00:00"/>
    <n v="692.05"/>
    <n v="726.65249999999992"/>
    <n v="-0.24953670020728372"/>
    <m/>
  </r>
  <r>
    <s v="CUST008"/>
    <s v="Emma Wilson"/>
    <x v="1"/>
    <x v="3"/>
    <x v="193"/>
    <n v="17"/>
    <n v="0.1"/>
    <d v="2025-03-29T00:00:00"/>
    <n v="344.41"/>
    <n v="378.851"/>
    <n v="-0.14552122775247409"/>
    <m/>
  </r>
  <r>
    <s v="CUST014"/>
    <s v="Sarah Anderson"/>
    <x v="0"/>
    <x v="1"/>
    <x v="194"/>
    <n v="8"/>
    <n v="0.15"/>
    <d v="2025-03-30T00:00:00"/>
    <n v="397.06"/>
    <n v="456.61900000000003"/>
    <n v="0.56844381174606906"/>
    <m/>
  </r>
  <r>
    <s v="CUST024"/>
    <s v="David Thomas"/>
    <x v="4"/>
    <x v="1"/>
    <x v="195"/>
    <n v="8"/>
    <n v="0.2"/>
    <d v="2025-03-30T00:00:00"/>
    <n v="586.14"/>
    <n v="703.36799999999994"/>
    <n v="-0.49445524959907189"/>
    <m/>
  </r>
  <r>
    <s v="CUST028"/>
    <s v="Robert Anderson"/>
    <x v="2"/>
    <x v="4"/>
    <x v="196"/>
    <n v="3"/>
    <n v="0"/>
    <d v="2025-04-02T00:00:00"/>
    <n v="333.36"/>
    <n v="333.36"/>
    <n v="-0.26371490280777526"/>
    <m/>
  </r>
  <r>
    <s v="CUST015"/>
    <s v="Sarah Anderson"/>
    <x v="0"/>
    <x v="4"/>
    <x v="197"/>
    <n v="17"/>
    <n v="0"/>
    <d v="2025-04-05T00:00:00"/>
    <n v="245.45"/>
    <n v="245.45"/>
    <n v="0.82900044001173345"/>
    <m/>
  </r>
  <r>
    <s v="CUST010"/>
    <s v="David Thomas"/>
    <x v="1"/>
    <x v="0"/>
    <x v="198"/>
    <n v="8"/>
    <n v="0.05"/>
    <d v="2025-04-05T00:00:00"/>
    <n v="379.09"/>
    <n v="398.04449999999997"/>
    <n v="-6.9455999839616644E-2"/>
    <m/>
  </r>
  <r>
    <s v="CUST016"/>
    <s v="David Thomas"/>
    <x v="2"/>
    <x v="1"/>
    <x v="199"/>
    <n v="2"/>
    <n v="0.05"/>
    <d v="2025-04-07T00:00:00"/>
    <n v="440.95"/>
    <n v="462.9975"/>
    <n v="-1"/>
    <m/>
  </r>
  <r>
    <m/>
    <m/>
    <x v="5"/>
    <x v="5"/>
    <x v="200"/>
    <m/>
    <m/>
    <m/>
    <n v="68287.01000000000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4">
  <location ref="A213:H221" firstHeaderRow="1" firstDataRow="2" firstDataCol="1"/>
  <pivotFields count="12"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202">
        <item x="129"/>
        <item x="148"/>
        <item x="145"/>
        <item x="156"/>
        <item x="143"/>
        <item x="21"/>
        <item x="182"/>
        <item x="188"/>
        <item x="35"/>
        <item x="61"/>
        <item x="180"/>
        <item x="8"/>
        <item x="137"/>
        <item x="77"/>
        <item x="14"/>
        <item x="72"/>
        <item x="197"/>
        <item x="42"/>
        <item x="168"/>
        <item x="39"/>
        <item x="162"/>
        <item x="100"/>
        <item x="70"/>
        <item x="17"/>
        <item x="161"/>
        <item x="19"/>
        <item x="114"/>
        <item x="147"/>
        <item x="26"/>
        <item x="80"/>
        <item x="187"/>
        <item x="115"/>
        <item x="186"/>
        <item x="111"/>
        <item x="173"/>
        <item x="23"/>
        <item x="125"/>
        <item x="179"/>
        <item x="2"/>
        <item x="123"/>
        <item x="91"/>
        <item x="108"/>
        <item x="9"/>
        <item x="196"/>
        <item x="57"/>
        <item x="166"/>
        <item x="22"/>
        <item x="150"/>
        <item x="191"/>
        <item x="3"/>
        <item x="190"/>
        <item x="113"/>
        <item x="38"/>
        <item x="49"/>
        <item x="82"/>
        <item x="29"/>
        <item x="73"/>
        <item x="69"/>
        <item x="138"/>
        <item x="54"/>
        <item x="136"/>
        <item x="13"/>
        <item x="98"/>
        <item x="176"/>
        <item x="165"/>
        <item x="135"/>
        <item x="43"/>
        <item x="36"/>
        <item x="170"/>
        <item x="4"/>
        <item x="32"/>
        <item x="132"/>
        <item x="45"/>
        <item x="152"/>
        <item x="183"/>
        <item x="151"/>
        <item x="86"/>
        <item x="92"/>
        <item x="66"/>
        <item x="16"/>
        <item x="149"/>
        <item x="134"/>
        <item x="99"/>
        <item x="95"/>
        <item x="55"/>
        <item x="128"/>
        <item x="103"/>
        <item x="24"/>
        <item x="199"/>
        <item x="62"/>
        <item x="194"/>
        <item x="27"/>
        <item x="53"/>
        <item x="20"/>
        <item x="119"/>
        <item x="105"/>
        <item x="5"/>
        <item x="94"/>
        <item x="33"/>
        <item x="56"/>
        <item x="110"/>
        <item x="71"/>
        <item x="28"/>
        <item x="184"/>
        <item x="101"/>
        <item x="198"/>
        <item x="47"/>
        <item x="63"/>
        <item x="118"/>
        <item x="102"/>
        <item x="117"/>
        <item x="175"/>
        <item x="122"/>
        <item x="68"/>
        <item x="50"/>
        <item x="177"/>
        <item x="31"/>
        <item x="41"/>
        <item x="171"/>
        <item x="65"/>
        <item x="0"/>
        <item x="154"/>
        <item x="133"/>
        <item x="181"/>
        <item x="83"/>
        <item x="7"/>
        <item x="157"/>
        <item x="120"/>
        <item x="106"/>
        <item x="52"/>
        <item x="193"/>
        <item x="164"/>
        <item x="178"/>
        <item x="64"/>
        <item x="1"/>
        <item x="90"/>
        <item x="163"/>
        <item x="78"/>
        <item x="169"/>
        <item x="159"/>
        <item x="81"/>
        <item x="131"/>
        <item x="40"/>
        <item x="88"/>
        <item x="93"/>
        <item x="142"/>
        <item x="121"/>
        <item x="84"/>
        <item x="153"/>
        <item x="96"/>
        <item x="25"/>
        <item x="189"/>
        <item x="48"/>
        <item x="172"/>
        <item x="12"/>
        <item x="112"/>
        <item x="34"/>
        <item x="97"/>
        <item x="130"/>
        <item x="75"/>
        <item x="46"/>
        <item x="51"/>
        <item x="44"/>
        <item x="141"/>
        <item x="58"/>
        <item x="116"/>
        <item x="158"/>
        <item x="76"/>
        <item x="89"/>
        <item x="124"/>
        <item x="104"/>
        <item x="79"/>
        <item x="109"/>
        <item x="167"/>
        <item x="6"/>
        <item x="85"/>
        <item x="11"/>
        <item x="127"/>
        <item x="146"/>
        <item x="59"/>
        <item x="67"/>
        <item x="60"/>
        <item x="37"/>
        <item x="126"/>
        <item x="139"/>
        <item x="87"/>
        <item x="30"/>
        <item x="192"/>
        <item x="195"/>
        <item x="140"/>
        <item x="185"/>
        <item x="15"/>
        <item x="18"/>
        <item x="74"/>
        <item x="10"/>
        <item x="144"/>
        <item x="174"/>
        <item x="160"/>
        <item x="155"/>
        <item x="107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4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" name="PivotTable3"/>
  </pivotTables>
  <data>
    <tabular pivotCacheId="1">
      <items count="6">
        <i x="4" s="1"/>
        <i x="1" s="1"/>
        <i x="3" s="1"/>
        <i x="2" s="1"/>
        <i x="0" s="1"/>
        <i x="5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E25"/>
  <sheetViews>
    <sheetView showGridLines="0" workbookViewId="0">
      <selection activeCell="G20" sqref="G20"/>
    </sheetView>
  </sheetViews>
  <sheetFormatPr defaultColWidth="9" defaultRowHeight="15" outlineLevelCol="4"/>
  <cols>
    <col min="3" max="3" width="6.28571428571429" customWidth="1"/>
    <col min="4" max="5" width="13.1428571428571" customWidth="1" outlineLevel="1"/>
  </cols>
  <sheetData>
    <row r="1" ht="15.75"/>
    <row r="2" ht="15.75" spans="2:5">
      <c r="B2" s="10" t="s">
        <v>0</v>
      </c>
      <c r="C2" s="10"/>
      <c r="D2" s="11"/>
      <c r="E2" s="11"/>
    </row>
    <row r="3" ht="15.75" collapsed="1" spans="2:5">
      <c r="B3" s="12"/>
      <c r="C3" s="12"/>
      <c r="D3" s="13" t="s">
        <v>1</v>
      </c>
      <c r="E3" s="13">
        <v>2026</v>
      </c>
    </row>
    <row r="4" ht="22.5" hidden="1" outlineLevel="1" spans="2:5">
      <c r="B4" s="14"/>
      <c r="C4" s="14"/>
      <c r="D4" s="15"/>
      <c r="E4" s="16" t="s">
        <v>2</v>
      </c>
    </row>
    <row r="5" spans="2:5">
      <c r="B5" s="17" t="s">
        <v>3</v>
      </c>
      <c r="C5" s="17"/>
      <c r="D5" s="18"/>
      <c r="E5" s="18"/>
    </row>
    <row r="6" outlineLevel="1" spans="2:5">
      <c r="B6" s="14"/>
      <c r="C6" s="14" t="s">
        <v>4</v>
      </c>
      <c r="D6" s="15">
        <v>0</v>
      </c>
      <c r="E6" s="19">
        <v>0.5</v>
      </c>
    </row>
    <row r="7" outlineLevel="1" spans="2:5">
      <c r="B7" s="14"/>
      <c r="C7" s="14" t="s">
        <v>5</v>
      </c>
      <c r="D7" s="15">
        <v>0.2</v>
      </c>
      <c r="E7" s="19">
        <v>0.7</v>
      </c>
    </row>
    <row r="8" outlineLevel="1" spans="2:5">
      <c r="B8" s="14"/>
      <c r="C8" s="14" t="s">
        <v>6</v>
      </c>
      <c r="D8" s="15">
        <v>0</v>
      </c>
      <c r="E8" s="19">
        <v>0.3</v>
      </c>
    </row>
    <row r="9" outlineLevel="1" spans="2:5">
      <c r="B9" s="14"/>
      <c r="C9" s="14" t="s">
        <v>7</v>
      </c>
      <c r="D9" s="15">
        <v>0.15</v>
      </c>
      <c r="E9" s="19">
        <v>0.1</v>
      </c>
    </row>
    <row r="10" outlineLevel="1" spans="2:5">
      <c r="B10" s="14"/>
      <c r="C10" s="14" t="s">
        <v>8</v>
      </c>
      <c r="D10" s="15">
        <v>0.2</v>
      </c>
      <c r="E10" s="19">
        <v>0.2</v>
      </c>
    </row>
    <row r="11" outlineLevel="1" spans="2:5">
      <c r="B11" s="14"/>
      <c r="C11" s="14" t="s">
        <v>9</v>
      </c>
      <c r="D11" s="15">
        <v>0.1</v>
      </c>
      <c r="E11" s="19">
        <v>0.1</v>
      </c>
    </row>
    <row r="12" outlineLevel="1" spans="2:5">
      <c r="B12" s="14"/>
      <c r="C12" s="14" t="s">
        <v>10</v>
      </c>
      <c r="D12" s="15">
        <v>0.05</v>
      </c>
      <c r="E12" s="19">
        <v>0.05</v>
      </c>
    </row>
    <row r="13" outlineLevel="1" spans="2:5">
      <c r="B13" s="14"/>
      <c r="C13" s="14" t="s">
        <v>11</v>
      </c>
      <c r="D13" s="15">
        <v>0.2</v>
      </c>
      <c r="E13" s="19">
        <v>0.2</v>
      </c>
    </row>
    <row r="14" outlineLevel="1" spans="2:5">
      <c r="B14" s="14"/>
      <c r="C14" s="14" t="s">
        <v>12</v>
      </c>
      <c r="D14" s="15">
        <v>0.05</v>
      </c>
      <c r="E14" s="19">
        <v>0.05</v>
      </c>
    </row>
    <row r="15" outlineLevel="1" spans="2:5">
      <c r="B15" s="14"/>
      <c r="C15" s="14" t="s">
        <v>13</v>
      </c>
      <c r="D15" s="15">
        <v>0.05</v>
      </c>
      <c r="E15" s="19">
        <v>0.05</v>
      </c>
    </row>
    <row r="16" outlineLevel="1" spans="2:5">
      <c r="B16" s="14"/>
      <c r="C16" s="14" t="s">
        <v>14</v>
      </c>
      <c r="D16" s="15">
        <v>0.05</v>
      </c>
      <c r="E16" s="19">
        <v>0.05</v>
      </c>
    </row>
    <row r="17" outlineLevel="1" spans="2:5">
      <c r="B17" s="14"/>
      <c r="C17" s="14" t="s">
        <v>15</v>
      </c>
      <c r="D17" s="15">
        <v>0.15</v>
      </c>
      <c r="E17" s="19">
        <v>0.15</v>
      </c>
    </row>
    <row r="18" outlineLevel="1" spans="2:5">
      <c r="B18" s="14"/>
      <c r="C18" s="14" t="s">
        <v>16</v>
      </c>
      <c r="D18" s="15">
        <v>0.05</v>
      </c>
      <c r="E18" s="19">
        <v>0.05</v>
      </c>
    </row>
    <row r="19" outlineLevel="1" spans="2:5">
      <c r="B19" s="14"/>
      <c r="C19" s="14" t="s">
        <v>17</v>
      </c>
      <c r="D19" s="15">
        <v>0.05</v>
      </c>
      <c r="E19" s="19">
        <v>0.05</v>
      </c>
    </row>
    <row r="20" outlineLevel="1" spans="2:5">
      <c r="B20" s="14"/>
      <c r="C20" s="14" t="s">
        <v>18</v>
      </c>
      <c r="D20" s="15">
        <v>0.15</v>
      </c>
      <c r="E20" s="19">
        <v>0.15</v>
      </c>
    </row>
    <row r="21" spans="2:5">
      <c r="B21" s="17" t="s">
        <v>19</v>
      </c>
      <c r="C21" s="17"/>
      <c r="D21" s="18"/>
      <c r="E21" s="18"/>
    </row>
    <row r="22" ht="15.75" outlineLevel="1" spans="2:5">
      <c r="B22" s="20"/>
      <c r="C22" s="20" t="s">
        <v>20</v>
      </c>
      <c r="D22" s="21">
        <v>0</v>
      </c>
      <c r="E22" s="21">
        <v>518.045</v>
      </c>
    </row>
    <row r="23" spans="2:2">
      <c r="B23" t="s">
        <v>21</v>
      </c>
    </row>
    <row r="24" spans="2:2">
      <c r="B24" t="s">
        <v>22</v>
      </c>
    </row>
    <row r="25" spans="2:2">
      <c r="B25" t="s">
        <v>23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1"/>
  <sheetViews>
    <sheetView tabSelected="1" zoomScale="118" zoomScaleNormal="118" topLeftCell="J1" workbookViewId="0">
      <selection activeCell="J1" sqref="J1"/>
    </sheetView>
  </sheetViews>
  <sheetFormatPr defaultColWidth="9" defaultRowHeight="15"/>
  <cols>
    <col min="1" max="1" width="13.1428571428571" customWidth="1"/>
    <col min="2" max="2" width="16.2857142857143" customWidth="1"/>
    <col min="3" max="3" width="9.85714285714286" customWidth="1"/>
    <col min="4" max="4" width="10.5714285714286" customWidth="1"/>
    <col min="5" max="5" width="9.85714285714286" customWidth="1"/>
    <col min="6" max="6" width="14.5714285714286" customWidth="1"/>
    <col min="7" max="7" width="7.28571428571429" customWidth="1"/>
    <col min="8" max="8" width="11.2857142857143" customWidth="1"/>
    <col min="12" max="12" width="16.5714285714286" customWidth="1"/>
  </cols>
  <sheetData>
    <row r="1" ht="30.75" spans="1:1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5" t="s">
        <v>33</v>
      </c>
      <c r="K1" s="5" t="s">
        <v>34</v>
      </c>
      <c r="L1" s="5" t="s">
        <v>35</v>
      </c>
    </row>
    <row r="2" ht="15.75" spans="1:35">
      <c r="A2" s="2" t="s">
        <v>36</v>
      </c>
      <c r="B2" s="2" t="s">
        <v>37</v>
      </c>
      <c r="C2" s="2" t="s">
        <v>38</v>
      </c>
      <c r="D2" s="2" t="s">
        <v>39</v>
      </c>
      <c r="E2" s="3">
        <v>1036.09</v>
      </c>
      <c r="F2" s="3">
        <v>4</v>
      </c>
      <c r="G2" s="3">
        <v>0.2</v>
      </c>
      <c r="H2" s="4">
        <v>45392</v>
      </c>
      <c r="I2" s="3">
        <v>331.55</v>
      </c>
      <c r="J2">
        <f>I2+(I2*G2)</f>
        <v>397.86</v>
      </c>
      <c r="K2" s="6">
        <f>(E3-E2)/E2</f>
        <v>0.062735862714629</v>
      </c>
      <c r="L2" s="7">
        <f ca="1">NOW()</f>
        <v>45994.551087963</v>
      </c>
      <c r="N2" t="str" cm="1">
        <f t="array" ref="N2:W102">_xlfn._xlws.FILTER(A2:J1202,E2:E1202&gt;1000,"CC")</f>
        <v>CUST019</v>
      </c>
      <c r="O2" t="str">
        <v>James Davis</v>
      </c>
      <c r="P2" t="str">
        <v>West</v>
      </c>
      <c r="Q2" t="str">
        <v>Books</v>
      </c>
      <c r="R2">
        <v>1036.09</v>
      </c>
      <c r="S2">
        <v>4</v>
      </c>
      <c r="T2">
        <v>0.2</v>
      </c>
      <c r="U2">
        <v>45392</v>
      </c>
      <c r="V2">
        <v>331.55</v>
      </c>
      <c r="W2">
        <v>397.86</v>
      </c>
      <c r="Z2" t="str" cm="1">
        <f t="array" ref="Z2:AI2">INDEX(A2:J201,MATCH(TRUE,E2:E201&gt;1000,0),0)</f>
        <v>CUST019</v>
      </c>
      <c r="AA2" t="str">
        <v>James Davis</v>
      </c>
      <c r="AB2" t="str">
        <v>West</v>
      </c>
      <c r="AC2" t="str">
        <v>Books</v>
      </c>
      <c r="AD2">
        <v>1036.09</v>
      </c>
      <c r="AE2">
        <v>4</v>
      </c>
      <c r="AF2">
        <v>0.2</v>
      </c>
      <c r="AG2">
        <v>45392</v>
      </c>
      <c r="AH2">
        <v>331.55</v>
      </c>
      <c r="AI2">
        <v>397.86</v>
      </c>
    </row>
    <row r="3" ht="15.75" spans="1:23">
      <c r="A3" s="2" t="s">
        <v>40</v>
      </c>
      <c r="B3" s="2" t="s">
        <v>41</v>
      </c>
      <c r="C3" s="2" t="s">
        <v>38</v>
      </c>
      <c r="D3" s="2" t="s">
        <v>42</v>
      </c>
      <c r="E3" s="3">
        <v>1101.09</v>
      </c>
      <c r="F3" s="3">
        <v>3</v>
      </c>
      <c r="G3" s="3">
        <v>0.2</v>
      </c>
      <c r="H3" s="4">
        <v>45393</v>
      </c>
      <c r="I3" s="3">
        <v>440.51</v>
      </c>
      <c r="J3">
        <f t="shared" ref="J3:J66" si="0">I3+(I3*G3)</f>
        <v>528.612</v>
      </c>
      <c r="K3" s="6">
        <f t="shared" ref="K3:K66" si="1">(E4-E3)/E3</f>
        <v>-0.352151050322862</v>
      </c>
      <c r="L3" s="7">
        <f ca="1">NOW()</f>
        <v>45994.551087963</v>
      </c>
      <c r="N3" t="str">
        <v>CUST012</v>
      </c>
      <c r="O3" t="str">
        <v>Robert Anderson</v>
      </c>
      <c r="P3" t="str">
        <v>West</v>
      </c>
      <c r="Q3" t="str">
        <v>Clothing</v>
      </c>
      <c r="R3">
        <v>1101.09</v>
      </c>
      <c r="S3">
        <v>3</v>
      </c>
      <c r="T3">
        <v>0.2</v>
      </c>
      <c r="U3">
        <v>45393</v>
      </c>
      <c r="V3">
        <v>440.51</v>
      </c>
      <c r="W3">
        <v>528.612</v>
      </c>
    </row>
    <row r="4" ht="15.75" spans="1:23">
      <c r="A4" s="2" t="s">
        <v>43</v>
      </c>
      <c r="B4" s="2" t="s">
        <v>44</v>
      </c>
      <c r="C4" s="2" t="s">
        <v>45</v>
      </c>
      <c r="D4" s="2" t="s">
        <v>39</v>
      </c>
      <c r="E4" s="3">
        <v>713.34</v>
      </c>
      <c r="F4" s="3">
        <v>17</v>
      </c>
      <c r="G4" s="3">
        <v>11</v>
      </c>
      <c r="H4" s="4">
        <v>45396</v>
      </c>
      <c r="I4" s="3">
        <v>285.34</v>
      </c>
      <c r="J4">
        <f t="shared" si="0"/>
        <v>3424.08</v>
      </c>
      <c r="K4" s="6">
        <f t="shared" si="1"/>
        <v>0.0667143297726188</v>
      </c>
      <c r="N4" t="str">
        <v>CUST001</v>
      </c>
      <c r="O4" t="str">
        <v>Linda Wilson</v>
      </c>
      <c r="P4" t="str">
        <v>West</v>
      </c>
      <c r="Q4" t="str">
        <v>Electronics</v>
      </c>
      <c r="R4">
        <v>1317.53</v>
      </c>
      <c r="S4">
        <v>12</v>
      </c>
      <c r="T4">
        <v>0.05</v>
      </c>
      <c r="U4">
        <v>45398</v>
      </c>
      <c r="V4">
        <v>312.91</v>
      </c>
      <c r="W4">
        <v>328.5555</v>
      </c>
    </row>
    <row r="5" ht="15.75" spans="1:23">
      <c r="A5" s="2" t="s">
        <v>46</v>
      </c>
      <c r="B5" s="2" t="s">
        <v>41</v>
      </c>
      <c r="C5" s="2" t="s">
        <v>47</v>
      </c>
      <c r="D5" s="2" t="s">
        <v>48</v>
      </c>
      <c r="E5" s="3">
        <v>760.93</v>
      </c>
      <c r="F5" s="3">
        <v>4</v>
      </c>
      <c r="G5" s="3">
        <v>0.15</v>
      </c>
      <c r="H5" s="4">
        <v>45396</v>
      </c>
      <c r="I5" s="3">
        <v>161.7</v>
      </c>
      <c r="J5">
        <f t="shared" si="0"/>
        <v>185.955</v>
      </c>
      <c r="K5" s="6">
        <f t="shared" si="1"/>
        <v>0.113111587136793</v>
      </c>
      <c r="N5" t="str">
        <v>CUST026</v>
      </c>
      <c r="O5" t="str">
        <v>Mary Davis</v>
      </c>
      <c r="P5" t="str">
        <v>East</v>
      </c>
      <c r="Q5" t="str">
        <v>Furniture</v>
      </c>
      <c r="R5">
        <v>1074.47</v>
      </c>
      <c r="S5">
        <v>6</v>
      </c>
      <c r="T5">
        <v>0.2</v>
      </c>
      <c r="U5">
        <v>45401</v>
      </c>
      <c r="V5">
        <v>300.85</v>
      </c>
      <c r="W5">
        <v>361.02</v>
      </c>
    </row>
    <row r="6" ht="15.75" spans="1:23">
      <c r="A6" s="2" t="s">
        <v>49</v>
      </c>
      <c r="B6" s="2" t="s">
        <v>50</v>
      </c>
      <c r="C6" s="2" t="s">
        <v>51</v>
      </c>
      <c r="D6" s="2" t="s">
        <v>39</v>
      </c>
      <c r="E6" s="3">
        <v>847</v>
      </c>
      <c r="F6" s="3">
        <v>12</v>
      </c>
      <c r="G6" s="3">
        <v>0.299</v>
      </c>
      <c r="H6" s="4">
        <v>45397</v>
      </c>
      <c r="I6" s="3">
        <v>271.04</v>
      </c>
      <c r="J6">
        <f t="shared" si="0"/>
        <v>352.08096</v>
      </c>
      <c r="K6" s="6">
        <f t="shared" si="1"/>
        <v>0.140070838252656</v>
      </c>
      <c r="N6" t="str">
        <v>CUST014</v>
      </c>
      <c r="O6" t="str">
        <v>Emma Davis</v>
      </c>
      <c r="P6" t="str">
        <v>West</v>
      </c>
      <c r="Q6" t="str">
        <v>Office Supplies</v>
      </c>
      <c r="R6">
        <v>1572.82</v>
      </c>
      <c r="S6">
        <v>6</v>
      </c>
      <c r="T6">
        <v>0.05</v>
      </c>
      <c r="U6">
        <v>45402</v>
      </c>
      <c r="V6">
        <v>672.38</v>
      </c>
      <c r="W6">
        <v>705.999</v>
      </c>
    </row>
    <row r="7" ht="30.75" spans="1:23">
      <c r="A7" s="2" t="s">
        <v>52</v>
      </c>
      <c r="B7" s="2" t="s">
        <v>53</v>
      </c>
      <c r="C7" s="2" t="s">
        <v>51</v>
      </c>
      <c r="D7" s="2" t="s">
        <v>54</v>
      </c>
      <c r="E7" s="3">
        <v>965.64</v>
      </c>
      <c r="F7" s="3">
        <v>8</v>
      </c>
      <c r="G7" s="3">
        <v>0.1</v>
      </c>
      <c r="H7" s="4">
        <v>45398</v>
      </c>
      <c r="I7" s="3">
        <v>304.18</v>
      </c>
      <c r="J7">
        <f t="shared" si="0"/>
        <v>334.598</v>
      </c>
      <c r="K7" s="6">
        <f t="shared" si="1"/>
        <v>0.364411167722961</v>
      </c>
      <c r="N7" t="str">
        <v>CUST014</v>
      </c>
      <c r="O7" t="str">
        <v>David Thomas</v>
      </c>
      <c r="P7" t="str">
        <v>Central</v>
      </c>
      <c r="Q7" t="str">
        <v>Books</v>
      </c>
      <c r="R7">
        <v>1343.13</v>
      </c>
      <c r="S7">
        <v>14</v>
      </c>
      <c r="T7">
        <v>0.15</v>
      </c>
      <c r="U7">
        <v>45404</v>
      </c>
      <c r="V7">
        <v>456.66</v>
      </c>
      <c r="W7">
        <v>525.159</v>
      </c>
    </row>
    <row r="8" ht="15.75" spans="1:23">
      <c r="A8" s="2" t="s">
        <v>55</v>
      </c>
      <c r="B8" s="2" t="s">
        <v>56</v>
      </c>
      <c r="C8" s="2" t="s">
        <v>38</v>
      </c>
      <c r="D8" s="2" t="s">
        <v>48</v>
      </c>
      <c r="E8" s="3">
        <v>1317.53</v>
      </c>
      <c r="F8" s="3">
        <v>12</v>
      </c>
      <c r="G8" s="3">
        <v>0.05</v>
      </c>
      <c r="H8" s="4">
        <v>45398</v>
      </c>
      <c r="I8" s="3">
        <v>312.91</v>
      </c>
      <c r="J8">
        <f t="shared" si="0"/>
        <v>328.5555</v>
      </c>
      <c r="K8" s="6">
        <f t="shared" si="1"/>
        <v>-0.184481567782138</v>
      </c>
      <c r="N8" t="str">
        <v>CUST007</v>
      </c>
      <c r="O8" t="str">
        <v>Michael Anderson</v>
      </c>
      <c r="P8" t="str">
        <v>Central</v>
      </c>
      <c r="Q8" t="str">
        <v>Books</v>
      </c>
      <c r="R8">
        <v>1191.58</v>
      </c>
      <c r="S8">
        <v>14</v>
      </c>
      <c r="T8">
        <v>0.05</v>
      </c>
      <c r="U8">
        <v>45406</v>
      </c>
      <c r="V8">
        <v>452.8</v>
      </c>
      <c r="W8">
        <v>475.44</v>
      </c>
    </row>
    <row r="9" ht="15.75" spans="1:23">
      <c r="A9" s="2" t="s">
        <v>57</v>
      </c>
      <c r="B9" s="2" t="s">
        <v>58</v>
      </c>
      <c r="C9" s="2" t="s">
        <v>45</v>
      </c>
      <c r="D9" s="2" t="s">
        <v>54</v>
      </c>
      <c r="E9" s="3">
        <v>1074.47</v>
      </c>
      <c r="F9" s="3">
        <v>6</v>
      </c>
      <c r="G9" s="3">
        <v>0.2</v>
      </c>
      <c r="H9" s="4">
        <v>45401</v>
      </c>
      <c r="I9" s="3">
        <v>300.85</v>
      </c>
      <c r="J9">
        <f t="shared" si="0"/>
        <v>361.02</v>
      </c>
      <c r="K9" s="6">
        <f t="shared" si="1"/>
        <v>-0.533221029903115</v>
      </c>
      <c r="N9" t="str">
        <v>CUST005</v>
      </c>
      <c r="O9" t="str">
        <v>Sarah Anderson</v>
      </c>
      <c r="P9" t="str">
        <v>South</v>
      </c>
      <c r="Q9" t="str">
        <v>Electronics</v>
      </c>
      <c r="R9">
        <v>1502.93</v>
      </c>
      <c r="S9">
        <v>14</v>
      </c>
      <c r="T9">
        <v>0.2</v>
      </c>
      <c r="U9">
        <v>45410</v>
      </c>
      <c r="V9">
        <v>300.59</v>
      </c>
      <c r="W9">
        <v>360.708</v>
      </c>
    </row>
    <row r="10" ht="15.75" spans="1:23">
      <c r="A10" s="2" t="s">
        <v>59</v>
      </c>
      <c r="B10" s="2" t="s">
        <v>60</v>
      </c>
      <c r="C10" s="2" t="s">
        <v>61</v>
      </c>
      <c r="D10" s="2" t="s">
        <v>39</v>
      </c>
      <c r="E10" s="3">
        <v>501.54</v>
      </c>
      <c r="F10" s="3">
        <v>11</v>
      </c>
      <c r="G10" s="3">
        <v>0.05</v>
      </c>
      <c r="H10" s="4">
        <v>45401</v>
      </c>
      <c r="I10" s="3">
        <v>190.59</v>
      </c>
      <c r="J10">
        <f t="shared" si="0"/>
        <v>200.1195</v>
      </c>
      <c r="K10" s="6">
        <f t="shared" si="1"/>
        <v>0.470092116281852</v>
      </c>
      <c r="N10" t="str">
        <v>CUST006</v>
      </c>
      <c r="O10" t="str">
        <v>Mary Jackson</v>
      </c>
      <c r="P10" t="str">
        <v>West</v>
      </c>
      <c r="Q10" t="str">
        <v>Books</v>
      </c>
      <c r="R10">
        <v>1506.14</v>
      </c>
      <c r="S10">
        <v>13</v>
      </c>
      <c r="T10">
        <v>0.2</v>
      </c>
      <c r="U10">
        <v>45412</v>
      </c>
      <c r="V10">
        <v>481.96</v>
      </c>
      <c r="W10">
        <v>578.352</v>
      </c>
    </row>
    <row r="11" ht="15.75" spans="1:23">
      <c r="A11" s="2" t="s">
        <v>62</v>
      </c>
      <c r="B11" s="2" t="s">
        <v>63</v>
      </c>
      <c r="C11" s="2" t="s">
        <v>61</v>
      </c>
      <c r="D11" s="2" t="s">
        <v>42</v>
      </c>
      <c r="E11" s="3">
        <v>737.31</v>
      </c>
      <c r="F11" s="3">
        <v>2</v>
      </c>
      <c r="G11" s="3">
        <v>0.05</v>
      </c>
      <c r="H11" s="4">
        <v>45401</v>
      </c>
      <c r="I11" s="3">
        <v>350.22</v>
      </c>
      <c r="J11">
        <f t="shared" si="0"/>
        <v>367.731</v>
      </c>
      <c r="K11" s="6">
        <f t="shared" si="1"/>
        <v>1.13318685491856</v>
      </c>
      <c r="N11" t="str">
        <v>CUST010</v>
      </c>
      <c r="O11" t="str">
        <v>Linda Brown</v>
      </c>
      <c r="P11" t="str">
        <v>South</v>
      </c>
      <c r="Q11" t="str">
        <v>Electronics</v>
      </c>
      <c r="R11">
        <v>1173.12</v>
      </c>
      <c r="S11">
        <v>18</v>
      </c>
      <c r="T11">
        <v>0</v>
      </c>
      <c r="U11">
        <v>45418</v>
      </c>
      <c r="V11">
        <v>293.28</v>
      </c>
      <c r="W11">
        <v>293.28</v>
      </c>
    </row>
    <row r="12" ht="30.75" spans="1:23">
      <c r="A12" s="2" t="s">
        <v>64</v>
      </c>
      <c r="B12" s="2" t="s">
        <v>65</v>
      </c>
      <c r="C12" s="2" t="s">
        <v>38</v>
      </c>
      <c r="D12" s="2" t="s">
        <v>66</v>
      </c>
      <c r="E12" s="3">
        <v>1572.82</v>
      </c>
      <c r="F12" s="3">
        <v>6</v>
      </c>
      <c r="G12" s="3">
        <v>0.05</v>
      </c>
      <c r="H12" s="4">
        <v>45402</v>
      </c>
      <c r="I12" s="3">
        <v>672.38</v>
      </c>
      <c r="J12">
        <f t="shared" si="0"/>
        <v>705.999</v>
      </c>
      <c r="K12" s="6">
        <f t="shared" si="1"/>
        <v>-0.146037054462685</v>
      </c>
      <c r="N12" t="str">
        <v>CUST025</v>
      </c>
      <c r="O12" t="str">
        <v>David Brown</v>
      </c>
      <c r="P12" t="str">
        <v>North</v>
      </c>
      <c r="Q12" t="str">
        <v>Electronics</v>
      </c>
      <c r="R12">
        <v>1450.71</v>
      </c>
      <c r="S12">
        <v>5</v>
      </c>
      <c r="T12">
        <v>0.1</v>
      </c>
      <c r="U12">
        <v>45427</v>
      </c>
      <c r="V12">
        <v>326.41</v>
      </c>
      <c r="W12">
        <v>359.051</v>
      </c>
    </row>
    <row r="13" ht="15.75" spans="1:23">
      <c r="A13" s="2" t="s">
        <v>64</v>
      </c>
      <c r="B13" s="2" t="s">
        <v>63</v>
      </c>
      <c r="C13" s="2" t="s">
        <v>61</v>
      </c>
      <c r="D13" s="2" t="s">
        <v>39</v>
      </c>
      <c r="E13" s="3">
        <v>1343.13</v>
      </c>
      <c r="F13" s="3">
        <v>14</v>
      </c>
      <c r="G13" s="3">
        <v>0.15</v>
      </c>
      <c r="H13" s="4">
        <v>45404</v>
      </c>
      <c r="I13" s="3">
        <v>456.66</v>
      </c>
      <c r="J13">
        <f t="shared" si="0"/>
        <v>525.159</v>
      </c>
      <c r="K13" s="6">
        <f t="shared" si="1"/>
        <v>-0.112833456180712</v>
      </c>
      <c r="N13" t="str">
        <v>CUST022</v>
      </c>
      <c r="O13" t="str">
        <v>David Davis</v>
      </c>
      <c r="P13" t="str">
        <v>Central</v>
      </c>
      <c r="Q13" t="str">
        <v>Books</v>
      </c>
      <c r="R13">
        <v>1023.21</v>
      </c>
      <c r="S13">
        <v>18</v>
      </c>
      <c r="T13">
        <v>0.05</v>
      </c>
      <c r="U13">
        <v>45428</v>
      </c>
      <c r="V13">
        <v>388.82</v>
      </c>
      <c r="W13">
        <v>408.261</v>
      </c>
    </row>
    <row r="14" ht="30.75" spans="1:23">
      <c r="A14" s="2" t="s">
        <v>52</v>
      </c>
      <c r="B14" s="2" t="s">
        <v>53</v>
      </c>
      <c r="C14" s="2" t="s">
        <v>61</v>
      </c>
      <c r="D14" s="2" t="s">
        <v>39</v>
      </c>
      <c r="E14" s="3">
        <v>1191.58</v>
      </c>
      <c r="F14" s="3">
        <v>14</v>
      </c>
      <c r="G14" s="3">
        <v>0.05</v>
      </c>
      <c r="H14" s="4">
        <v>45406</v>
      </c>
      <c r="I14" s="3">
        <v>452.8</v>
      </c>
      <c r="J14">
        <f t="shared" si="0"/>
        <v>475.44</v>
      </c>
      <c r="K14" s="6">
        <f t="shared" si="1"/>
        <v>-0.309924637875762</v>
      </c>
      <c r="N14" t="str">
        <v>CUST015</v>
      </c>
      <c r="O14" t="str">
        <v>Linda Taylor</v>
      </c>
      <c r="P14" t="str">
        <v>North</v>
      </c>
      <c r="Q14" t="str">
        <v>Office Supplies</v>
      </c>
      <c r="R14">
        <v>1200.9</v>
      </c>
      <c r="S14">
        <v>14</v>
      </c>
      <c r="T14">
        <v>0.05</v>
      </c>
      <c r="U14">
        <v>45429</v>
      </c>
      <c r="V14">
        <v>513.38</v>
      </c>
      <c r="W14">
        <v>539.049</v>
      </c>
    </row>
    <row r="15" ht="15.75" spans="1:23">
      <c r="A15" s="2" t="s">
        <v>67</v>
      </c>
      <c r="B15" s="2" t="s">
        <v>41</v>
      </c>
      <c r="C15" s="2" t="s">
        <v>38</v>
      </c>
      <c r="D15" s="2" t="s">
        <v>54</v>
      </c>
      <c r="E15" s="3">
        <v>822.28</v>
      </c>
      <c r="F15" s="3">
        <v>7</v>
      </c>
      <c r="G15" s="3">
        <v>0.05</v>
      </c>
      <c r="H15" s="4">
        <v>45406</v>
      </c>
      <c r="I15" s="3">
        <v>273.41</v>
      </c>
      <c r="J15">
        <f t="shared" si="0"/>
        <v>287.0805</v>
      </c>
      <c r="K15" s="6">
        <f t="shared" si="1"/>
        <v>-0.365581067276354</v>
      </c>
      <c r="N15" t="str">
        <v>CUST028</v>
      </c>
      <c r="O15" t="str">
        <v>Lisa Davis</v>
      </c>
      <c r="P15" t="str">
        <v>Central</v>
      </c>
      <c r="Q15" t="str">
        <v>Furniture</v>
      </c>
      <c r="R15">
        <v>1410.06</v>
      </c>
      <c r="S15">
        <v>11</v>
      </c>
      <c r="T15">
        <v>0.05</v>
      </c>
      <c r="U15">
        <v>45434</v>
      </c>
      <c r="V15">
        <v>468.84</v>
      </c>
      <c r="W15">
        <v>492.282</v>
      </c>
    </row>
    <row r="16" ht="15.75" spans="1:23">
      <c r="A16" s="2" t="s">
        <v>68</v>
      </c>
      <c r="B16" s="2" t="s">
        <v>69</v>
      </c>
      <c r="C16" s="2" t="s">
        <v>51</v>
      </c>
      <c r="D16" s="2" t="s">
        <v>54</v>
      </c>
      <c r="E16" s="3">
        <v>521.67</v>
      </c>
      <c r="F16" s="3">
        <v>15</v>
      </c>
      <c r="G16" s="3">
        <v>0.15</v>
      </c>
      <c r="H16" s="4">
        <v>45409</v>
      </c>
      <c r="I16" s="3">
        <v>155.2</v>
      </c>
      <c r="J16">
        <f t="shared" si="0"/>
        <v>178.48</v>
      </c>
      <c r="K16" s="6">
        <f t="shared" si="1"/>
        <v>1.88099756551076</v>
      </c>
      <c r="N16" t="str">
        <v>CUST005</v>
      </c>
      <c r="O16" t="str">
        <v>David Smith</v>
      </c>
      <c r="P16" t="str">
        <v>South</v>
      </c>
      <c r="Q16" t="str">
        <v>Books</v>
      </c>
      <c r="R16">
        <v>1151.21</v>
      </c>
      <c r="S16">
        <v>15</v>
      </c>
      <c r="T16">
        <v>0.1</v>
      </c>
      <c r="U16">
        <v>45445</v>
      </c>
      <c r="V16">
        <v>414.44</v>
      </c>
      <c r="W16">
        <v>455.884</v>
      </c>
    </row>
    <row r="17" ht="15.75" spans="1:23">
      <c r="A17" s="2" t="s">
        <v>46</v>
      </c>
      <c r="B17" s="2" t="s">
        <v>70</v>
      </c>
      <c r="C17" s="2" t="s">
        <v>47</v>
      </c>
      <c r="D17" s="2" t="s">
        <v>48</v>
      </c>
      <c r="E17" s="3">
        <v>1502.93</v>
      </c>
      <c r="F17" s="3">
        <v>14</v>
      </c>
      <c r="G17" s="3">
        <v>0.2</v>
      </c>
      <c r="H17" s="4">
        <v>45410</v>
      </c>
      <c r="I17" s="3">
        <v>300.59</v>
      </c>
      <c r="J17">
        <f t="shared" si="0"/>
        <v>360.708</v>
      </c>
      <c r="K17" s="6">
        <f t="shared" si="1"/>
        <v>-0.416087242918832</v>
      </c>
      <c r="N17" t="str">
        <v>CUST028</v>
      </c>
      <c r="O17" t="str">
        <v>James Wilson</v>
      </c>
      <c r="P17" t="str">
        <v>Central</v>
      </c>
      <c r="Q17" t="str">
        <v>Office Supplies</v>
      </c>
      <c r="R17">
        <v>1025.98</v>
      </c>
      <c r="S17">
        <v>5</v>
      </c>
      <c r="T17">
        <v>0.2</v>
      </c>
      <c r="U17">
        <v>45447</v>
      </c>
      <c r="V17">
        <v>369.35</v>
      </c>
      <c r="W17">
        <v>443.22</v>
      </c>
    </row>
    <row r="18" ht="15.75" spans="1:23">
      <c r="A18" s="2" t="s">
        <v>71</v>
      </c>
      <c r="B18" s="2" t="s">
        <v>41</v>
      </c>
      <c r="C18" s="2" t="s">
        <v>47</v>
      </c>
      <c r="D18" s="2" t="s">
        <v>39</v>
      </c>
      <c r="E18" s="3">
        <v>877.58</v>
      </c>
      <c r="F18" s="3">
        <v>10</v>
      </c>
      <c r="G18" s="3">
        <v>0.15</v>
      </c>
      <c r="H18" s="4">
        <v>45411</v>
      </c>
      <c r="I18" s="3">
        <v>298.38</v>
      </c>
      <c r="J18">
        <f t="shared" si="0"/>
        <v>343.137</v>
      </c>
      <c r="K18" s="6">
        <f t="shared" si="1"/>
        <v>-0.274482098498143</v>
      </c>
      <c r="N18" t="str">
        <v>CUST026</v>
      </c>
      <c r="O18" t="str">
        <v>Emma Wilson</v>
      </c>
      <c r="P18" t="str">
        <v>North</v>
      </c>
      <c r="Q18" t="str">
        <v>Furniture</v>
      </c>
      <c r="R18">
        <v>1227.25</v>
      </c>
      <c r="S18">
        <v>12</v>
      </c>
      <c r="T18">
        <v>0.15</v>
      </c>
      <c r="U18">
        <v>45448</v>
      </c>
      <c r="V18">
        <v>365.11</v>
      </c>
      <c r="W18">
        <v>419.8765</v>
      </c>
    </row>
    <row r="19" ht="15.75" spans="1:23">
      <c r="A19" s="2" t="s">
        <v>55</v>
      </c>
      <c r="B19" s="2" t="s">
        <v>72</v>
      </c>
      <c r="C19" s="2" t="s">
        <v>38</v>
      </c>
      <c r="D19" s="2" t="s">
        <v>39</v>
      </c>
      <c r="E19" s="3">
        <v>636.7</v>
      </c>
      <c r="F19" s="3">
        <v>4</v>
      </c>
      <c r="G19" s="3">
        <v>0.2</v>
      </c>
      <c r="H19" s="4">
        <v>45411</v>
      </c>
      <c r="I19" s="3">
        <v>203.74</v>
      </c>
      <c r="J19">
        <f t="shared" si="0"/>
        <v>244.488</v>
      </c>
      <c r="K19" s="6">
        <f t="shared" si="1"/>
        <v>1.36554107114811</v>
      </c>
      <c r="N19" t="str">
        <v>CUST025</v>
      </c>
      <c r="O19" t="str">
        <v>David Davis</v>
      </c>
      <c r="P19" t="str">
        <v>Central</v>
      </c>
      <c r="Q19" t="str">
        <v>Office Supplies</v>
      </c>
      <c r="R19">
        <v>1225.42</v>
      </c>
      <c r="S19">
        <v>8</v>
      </c>
      <c r="T19">
        <v>0.15</v>
      </c>
      <c r="U19">
        <v>45449</v>
      </c>
      <c r="V19">
        <v>468.72</v>
      </c>
      <c r="W19">
        <v>539.028</v>
      </c>
    </row>
    <row r="20" ht="15.75" spans="1:23">
      <c r="A20" s="2" t="s">
        <v>73</v>
      </c>
      <c r="B20" s="2" t="s">
        <v>74</v>
      </c>
      <c r="C20" s="2" t="s">
        <v>38</v>
      </c>
      <c r="D20" s="2" t="s">
        <v>39</v>
      </c>
      <c r="E20" s="3">
        <v>1506.14</v>
      </c>
      <c r="F20" s="3">
        <v>13</v>
      </c>
      <c r="G20" s="3">
        <v>0.2</v>
      </c>
      <c r="H20" s="4">
        <v>45412</v>
      </c>
      <c r="I20" s="3">
        <v>481.96</v>
      </c>
      <c r="J20">
        <f t="shared" si="0"/>
        <v>578.352</v>
      </c>
      <c r="K20" s="6">
        <f t="shared" si="1"/>
        <v>-0.571739678914311</v>
      </c>
      <c r="N20" t="str">
        <v>CUST011</v>
      </c>
      <c r="O20" t="str">
        <v>Mary Davis</v>
      </c>
      <c r="P20" t="str">
        <v>North</v>
      </c>
      <c r="Q20" t="str">
        <v>Office Supplies</v>
      </c>
      <c r="R20">
        <v>1001.57</v>
      </c>
      <c r="S20">
        <v>12</v>
      </c>
      <c r="T20">
        <v>0</v>
      </c>
      <c r="U20">
        <v>45450</v>
      </c>
      <c r="V20">
        <v>450.71</v>
      </c>
      <c r="W20">
        <v>450.71</v>
      </c>
    </row>
    <row r="21" ht="15.75" spans="1:23">
      <c r="A21" s="2" t="s">
        <v>57</v>
      </c>
      <c r="B21" s="2" t="s">
        <v>58</v>
      </c>
      <c r="C21" s="2" t="s">
        <v>61</v>
      </c>
      <c r="D21" s="2" t="s">
        <v>48</v>
      </c>
      <c r="E21" s="3">
        <v>645.02</v>
      </c>
      <c r="F21" s="3">
        <v>4</v>
      </c>
      <c r="G21" s="3">
        <v>0</v>
      </c>
      <c r="H21" s="4">
        <v>45414</v>
      </c>
      <c r="I21" s="3">
        <v>161.26</v>
      </c>
      <c r="J21">
        <f t="shared" si="0"/>
        <v>161.26</v>
      </c>
      <c r="K21" s="6">
        <f t="shared" si="1"/>
        <v>0.477938668568416</v>
      </c>
      <c r="N21" t="str">
        <v>CUST021</v>
      </c>
      <c r="O21" t="str">
        <v>Michael Anderson</v>
      </c>
      <c r="P21" t="str">
        <v>East</v>
      </c>
      <c r="Q21" t="str">
        <v>Furniture</v>
      </c>
      <c r="R21">
        <v>1186.85</v>
      </c>
      <c r="S21">
        <v>19</v>
      </c>
      <c r="T21">
        <v>0.2</v>
      </c>
      <c r="U21">
        <v>45451</v>
      </c>
      <c r="V21">
        <v>332.32</v>
      </c>
      <c r="W21">
        <v>398.784</v>
      </c>
    </row>
    <row r="22" ht="15.75" spans="1:23">
      <c r="A22" s="2" t="s">
        <v>52</v>
      </c>
      <c r="B22" s="2" t="s">
        <v>75</v>
      </c>
      <c r="C22" s="2" t="s">
        <v>47</v>
      </c>
      <c r="D22" s="2" t="s">
        <v>42</v>
      </c>
      <c r="E22" s="3">
        <v>953.3</v>
      </c>
      <c r="F22" s="3">
        <v>11</v>
      </c>
      <c r="G22" s="3">
        <v>0</v>
      </c>
      <c r="H22" s="4">
        <v>45415</v>
      </c>
      <c r="I22" s="3">
        <v>476.65</v>
      </c>
      <c r="J22">
        <f t="shared" si="0"/>
        <v>476.65</v>
      </c>
      <c r="K22" s="6">
        <f t="shared" si="1"/>
        <v>-0.592405328857652</v>
      </c>
      <c r="N22" t="str">
        <v>CUST007</v>
      </c>
      <c r="O22" t="str">
        <v>Linda Jackson</v>
      </c>
      <c r="P22" t="str">
        <v>South</v>
      </c>
      <c r="Q22" t="str">
        <v>Electronics</v>
      </c>
      <c r="R22">
        <v>1021.47</v>
      </c>
      <c r="S22">
        <v>6</v>
      </c>
      <c r="T22">
        <v>0.05</v>
      </c>
      <c r="U22">
        <v>45461</v>
      </c>
      <c r="V22">
        <v>242.6</v>
      </c>
      <c r="W22">
        <v>254.73</v>
      </c>
    </row>
    <row r="23" ht="15.75" spans="1:23">
      <c r="A23" s="2" t="s">
        <v>76</v>
      </c>
      <c r="B23" s="2" t="s">
        <v>41</v>
      </c>
      <c r="C23" s="2" t="s">
        <v>51</v>
      </c>
      <c r="D23" s="2" t="s">
        <v>48</v>
      </c>
      <c r="E23" s="3">
        <v>388.56</v>
      </c>
      <c r="F23" s="3">
        <v>14</v>
      </c>
      <c r="G23" s="3">
        <v>0.15</v>
      </c>
      <c r="H23" s="4">
        <v>45416</v>
      </c>
      <c r="I23" s="3">
        <v>82.57</v>
      </c>
      <c r="J23">
        <f t="shared" si="0"/>
        <v>94.9555</v>
      </c>
      <c r="K23" s="6">
        <f t="shared" si="1"/>
        <v>0.912626106650196</v>
      </c>
      <c r="N23" t="str">
        <v>CUST015</v>
      </c>
      <c r="O23" t="str">
        <v>James Wilson</v>
      </c>
      <c r="P23" t="str">
        <v>South</v>
      </c>
      <c r="Q23" t="str">
        <v>Clothing</v>
      </c>
      <c r="R23">
        <v>1226.62</v>
      </c>
      <c r="S23">
        <v>7</v>
      </c>
      <c r="T23">
        <v>0.1</v>
      </c>
      <c r="U23">
        <v>45463</v>
      </c>
      <c r="V23">
        <v>551.98</v>
      </c>
      <c r="W23">
        <v>607.178</v>
      </c>
    </row>
    <row r="24" ht="15.75" spans="1:23">
      <c r="A24" s="2" t="s">
        <v>36</v>
      </c>
      <c r="B24" s="2" t="s">
        <v>58</v>
      </c>
      <c r="C24" s="2" t="s">
        <v>38</v>
      </c>
      <c r="D24" s="2" t="s">
        <v>39</v>
      </c>
      <c r="E24" s="3">
        <v>743.17</v>
      </c>
      <c r="F24" s="3">
        <v>9</v>
      </c>
      <c r="G24" s="3">
        <v>0</v>
      </c>
      <c r="H24" s="4">
        <v>45416</v>
      </c>
      <c r="I24" s="3">
        <v>297.27</v>
      </c>
      <c r="J24">
        <f t="shared" si="0"/>
        <v>297.27</v>
      </c>
      <c r="K24" s="6">
        <f t="shared" si="1"/>
        <v>-0.0495176070078178</v>
      </c>
      <c r="N24" t="str">
        <v>CUST030</v>
      </c>
      <c r="O24" t="str">
        <v>Sarah Davis</v>
      </c>
      <c r="P24" t="str">
        <v>South</v>
      </c>
      <c r="Q24" t="str">
        <v>Furniture</v>
      </c>
      <c r="R24">
        <v>1086.93</v>
      </c>
      <c r="S24">
        <v>2</v>
      </c>
      <c r="T24">
        <v>0</v>
      </c>
      <c r="U24">
        <v>45464</v>
      </c>
      <c r="V24">
        <v>380.43</v>
      </c>
      <c r="W24">
        <v>380.43</v>
      </c>
    </row>
    <row r="25" ht="15.75" spans="1:23">
      <c r="A25" s="2" t="s">
        <v>67</v>
      </c>
      <c r="B25" s="2" t="s">
        <v>58</v>
      </c>
      <c r="C25" s="2" t="s">
        <v>61</v>
      </c>
      <c r="D25" s="2" t="s">
        <v>48</v>
      </c>
      <c r="E25" s="3">
        <v>706.37</v>
      </c>
      <c r="F25" s="3">
        <v>6</v>
      </c>
      <c r="G25" s="3">
        <v>0</v>
      </c>
      <c r="H25" s="4">
        <v>45416</v>
      </c>
      <c r="I25" s="3">
        <v>176.59</v>
      </c>
      <c r="J25">
        <f t="shared" si="0"/>
        <v>176.59</v>
      </c>
      <c r="K25" s="6">
        <f t="shared" si="1"/>
        <v>0.309950875603437</v>
      </c>
      <c r="N25" t="str">
        <v>CUST003</v>
      </c>
      <c r="O25" t="str">
        <v>Emma Davis</v>
      </c>
      <c r="P25" t="str">
        <v>North</v>
      </c>
      <c r="Q25" t="str">
        <v>Books</v>
      </c>
      <c r="R25">
        <v>1248.82</v>
      </c>
      <c r="S25">
        <v>2</v>
      </c>
      <c r="T25">
        <v>0.1</v>
      </c>
      <c r="U25">
        <v>45473</v>
      </c>
      <c r="V25">
        <v>449.58</v>
      </c>
      <c r="W25">
        <v>494.538</v>
      </c>
    </row>
    <row r="26" ht="30.75" spans="1:23">
      <c r="A26" s="2" t="s">
        <v>40</v>
      </c>
      <c r="B26" s="2" t="s">
        <v>58</v>
      </c>
      <c r="C26" s="2" t="s">
        <v>61</v>
      </c>
      <c r="D26" s="2" t="s">
        <v>66</v>
      </c>
      <c r="E26" s="3">
        <v>925.31</v>
      </c>
      <c r="F26" s="3">
        <v>8</v>
      </c>
      <c r="G26" s="3">
        <v>0.1</v>
      </c>
      <c r="H26" s="4">
        <v>45418</v>
      </c>
      <c r="I26" s="3">
        <v>374.75</v>
      </c>
      <c r="J26">
        <f t="shared" si="0"/>
        <v>412.225</v>
      </c>
      <c r="K26" s="6">
        <f t="shared" si="1"/>
        <v>0.26781294917379</v>
      </c>
      <c r="N26" t="str">
        <v>CUST012</v>
      </c>
      <c r="O26" t="str">
        <v>Mary Wilson</v>
      </c>
      <c r="P26" t="str">
        <v>West</v>
      </c>
      <c r="Q26" t="str">
        <v>Clothing</v>
      </c>
      <c r="R26">
        <v>1360.36</v>
      </c>
      <c r="S26">
        <v>17</v>
      </c>
      <c r="T26">
        <v>0</v>
      </c>
      <c r="U26">
        <v>45473</v>
      </c>
      <c r="V26">
        <v>680.18</v>
      </c>
      <c r="W26">
        <v>680.18</v>
      </c>
    </row>
    <row r="27" ht="15.75" spans="1:23">
      <c r="A27" s="2" t="s">
        <v>62</v>
      </c>
      <c r="B27" s="2" t="s">
        <v>77</v>
      </c>
      <c r="C27" s="2" t="s">
        <v>47</v>
      </c>
      <c r="D27" s="2" t="s">
        <v>48</v>
      </c>
      <c r="E27" s="3">
        <v>1173.12</v>
      </c>
      <c r="F27" s="3">
        <v>18</v>
      </c>
      <c r="G27" s="3">
        <v>0</v>
      </c>
      <c r="H27" s="4">
        <v>45418</v>
      </c>
      <c r="I27" s="3">
        <v>293.28</v>
      </c>
      <c r="J27">
        <f t="shared" si="0"/>
        <v>293.28</v>
      </c>
      <c r="K27" s="6">
        <f t="shared" si="1"/>
        <v>-0.424150981996727</v>
      </c>
      <c r="N27" t="str">
        <v>CUST021</v>
      </c>
      <c r="O27" t="str">
        <v>Mary Davis</v>
      </c>
      <c r="P27" t="str">
        <v>East</v>
      </c>
      <c r="Q27" t="str">
        <v>Books</v>
      </c>
      <c r="R27">
        <v>1383.3</v>
      </c>
      <c r="S27">
        <v>8</v>
      </c>
      <c r="T27">
        <v>0.1</v>
      </c>
      <c r="U27">
        <v>45478</v>
      </c>
      <c r="V27">
        <v>497.99</v>
      </c>
      <c r="W27">
        <v>547.789</v>
      </c>
    </row>
    <row r="28" ht="15.75" spans="1:23">
      <c r="A28" s="2" t="s">
        <v>49</v>
      </c>
      <c r="B28" s="2" t="s">
        <v>78</v>
      </c>
      <c r="C28" s="2" t="s">
        <v>51</v>
      </c>
      <c r="D28" s="2" t="s">
        <v>54</v>
      </c>
      <c r="E28" s="3">
        <v>675.54</v>
      </c>
      <c r="F28" s="3">
        <v>17</v>
      </c>
      <c r="G28" s="3">
        <v>0</v>
      </c>
      <c r="H28" s="4">
        <v>45420</v>
      </c>
      <c r="I28" s="3">
        <v>236.44</v>
      </c>
      <c r="J28">
        <f t="shared" si="0"/>
        <v>236.44</v>
      </c>
      <c r="K28" s="6">
        <f t="shared" si="1"/>
        <v>0.390132338573586</v>
      </c>
      <c r="N28" t="str">
        <v>CUST003</v>
      </c>
      <c r="O28" t="str">
        <v>James Davis</v>
      </c>
      <c r="P28" t="str">
        <v>West</v>
      </c>
      <c r="Q28" t="str">
        <v>Electronics</v>
      </c>
      <c r="R28">
        <v>1005.53</v>
      </c>
      <c r="S28">
        <v>17</v>
      </c>
      <c r="T28">
        <v>0.2</v>
      </c>
      <c r="U28">
        <v>45481</v>
      </c>
      <c r="V28">
        <v>201.11</v>
      </c>
      <c r="W28">
        <v>241.332</v>
      </c>
    </row>
    <row r="29" ht="15.75" spans="1:23">
      <c r="A29" s="2" t="s">
        <v>52</v>
      </c>
      <c r="B29" s="2" t="s">
        <v>41</v>
      </c>
      <c r="C29" s="2" t="s">
        <v>61</v>
      </c>
      <c r="D29" s="2" t="s">
        <v>39</v>
      </c>
      <c r="E29" s="3">
        <v>939.09</v>
      </c>
      <c r="F29" s="3">
        <v>2</v>
      </c>
      <c r="G29" s="3">
        <v>0.05</v>
      </c>
      <c r="H29" s="4">
        <v>45422</v>
      </c>
      <c r="I29" s="3">
        <v>356.85</v>
      </c>
      <c r="J29">
        <f t="shared" si="0"/>
        <v>374.6925</v>
      </c>
      <c r="K29" s="6">
        <f t="shared" si="1"/>
        <v>0.0471200843369645</v>
      </c>
      <c r="N29" t="str">
        <v>CUST029</v>
      </c>
      <c r="O29" t="str">
        <v>Emma Wilson</v>
      </c>
      <c r="P29" t="str">
        <v>South</v>
      </c>
      <c r="Q29" t="str">
        <v>Electronics</v>
      </c>
      <c r="R29">
        <v>1100.1</v>
      </c>
      <c r="S29">
        <v>5</v>
      </c>
      <c r="T29">
        <v>0.05</v>
      </c>
      <c r="U29">
        <v>45482</v>
      </c>
      <c r="V29">
        <v>261.27</v>
      </c>
      <c r="W29">
        <v>274.3335</v>
      </c>
    </row>
    <row r="30" ht="30.75" spans="1:23">
      <c r="A30" s="2" t="s">
        <v>79</v>
      </c>
      <c r="B30" s="2" t="s">
        <v>80</v>
      </c>
      <c r="C30" s="2" t="s">
        <v>45</v>
      </c>
      <c r="D30" s="2" t="s">
        <v>66</v>
      </c>
      <c r="E30" s="3">
        <v>983.34</v>
      </c>
      <c r="F30" s="3">
        <v>19</v>
      </c>
      <c r="G30" s="3">
        <v>0.1</v>
      </c>
      <c r="H30" s="4">
        <v>45426</v>
      </c>
      <c r="I30" s="3">
        <v>398.25</v>
      </c>
      <c r="J30">
        <f t="shared" si="0"/>
        <v>438.075</v>
      </c>
      <c r="K30" s="6">
        <f t="shared" si="1"/>
        <v>-0.185215693452926</v>
      </c>
      <c r="N30" t="str">
        <v>CUST003</v>
      </c>
      <c r="O30" t="str">
        <v>James Wilson</v>
      </c>
      <c r="P30" t="str">
        <v>North</v>
      </c>
      <c r="Q30" t="str">
        <v>Furniture</v>
      </c>
      <c r="R30">
        <v>1034.7</v>
      </c>
      <c r="S30">
        <v>15</v>
      </c>
      <c r="T30">
        <v>0.15</v>
      </c>
      <c r="U30">
        <v>45487</v>
      </c>
      <c r="V30">
        <v>307.82</v>
      </c>
      <c r="W30">
        <v>353.993</v>
      </c>
    </row>
    <row r="31" ht="15.75" spans="1:23">
      <c r="A31" s="2" t="s">
        <v>79</v>
      </c>
      <c r="B31" s="2" t="s">
        <v>50</v>
      </c>
      <c r="C31" s="2" t="s">
        <v>47</v>
      </c>
      <c r="D31" s="2" t="s">
        <v>48</v>
      </c>
      <c r="E31" s="3">
        <v>801.21</v>
      </c>
      <c r="F31" s="3">
        <v>3</v>
      </c>
      <c r="G31" s="3">
        <v>0.2</v>
      </c>
      <c r="H31" s="4">
        <v>45426</v>
      </c>
      <c r="I31" s="3">
        <v>160.24</v>
      </c>
      <c r="J31">
        <f t="shared" si="0"/>
        <v>192.288</v>
      </c>
      <c r="K31" s="6">
        <f t="shared" si="1"/>
        <v>0.810648893548508</v>
      </c>
      <c r="N31" t="str">
        <v>CUST020</v>
      </c>
      <c r="O31" t="str">
        <v>David Brown</v>
      </c>
      <c r="P31" t="str">
        <v>West</v>
      </c>
      <c r="Q31" t="str">
        <v>Furniture</v>
      </c>
      <c r="R31">
        <v>1371.34</v>
      </c>
      <c r="S31">
        <v>5</v>
      </c>
      <c r="T31">
        <v>0.05</v>
      </c>
      <c r="U31">
        <v>45488</v>
      </c>
      <c r="V31">
        <v>455.97</v>
      </c>
      <c r="W31">
        <v>478.7685</v>
      </c>
    </row>
    <row r="32" ht="15.75" spans="1:23">
      <c r="A32" s="2" t="s">
        <v>81</v>
      </c>
      <c r="B32" s="2" t="s">
        <v>82</v>
      </c>
      <c r="C32" s="2" t="s">
        <v>51</v>
      </c>
      <c r="D32" s="2" t="s">
        <v>48</v>
      </c>
      <c r="E32" s="3">
        <v>1450.71</v>
      </c>
      <c r="F32" s="3">
        <v>5</v>
      </c>
      <c r="G32" s="3">
        <v>0.1</v>
      </c>
      <c r="H32" s="4">
        <v>45427</v>
      </c>
      <c r="I32" s="3">
        <v>326.41</v>
      </c>
      <c r="J32">
        <f t="shared" si="0"/>
        <v>359.051</v>
      </c>
      <c r="K32" s="6">
        <f t="shared" si="1"/>
        <v>-0.294683293008251</v>
      </c>
      <c r="N32" t="str">
        <v>CUST021</v>
      </c>
      <c r="O32" t="str">
        <v>Mary Jackson</v>
      </c>
      <c r="P32" t="str">
        <v>North</v>
      </c>
      <c r="Q32" t="str">
        <v>Electronics</v>
      </c>
      <c r="R32">
        <v>1020.26</v>
      </c>
      <c r="S32">
        <v>11</v>
      </c>
      <c r="T32">
        <v>0.05</v>
      </c>
      <c r="U32">
        <v>45494</v>
      </c>
      <c r="V32">
        <v>242.31</v>
      </c>
      <c r="W32">
        <v>254.4255</v>
      </c>
    </row>
    <row r="33" ht="15.75" spans="1:23">
      <c r="A33" s="2" t="s">
        <v>76</v>
      </c>
      <c r="B33" s="2" t="s">
        <v>83</v>
      </c>
      <c r="C33" s="2" t="s">
        <v>61</v>
      </c>
      <c r="D33" s="2" t="s">
        <v>39</v>
      </c>
      <c r="E33" s="3">
        <v>1023.21</v>
      </c>
      <c r="F33" s="3">
        <v>18</v>
      </c>
      <c r="G33" s="3">
        <v>0.05</v>
      </c>
      <c r="H33" s="4">
        <v>45428</v>
      </c>
      <c r="I33" s="3">
        <v>388.82</v>
      </c>
      <c r="J33">
        <f t="shared" si="0"/>
        <v>408.261</v>
      </c>
      <c r="K33" s="6">
        <f t="shared" si="1"/>
        <v>-0.165645370940472</v>
      </c>
      <c r="N33" t="str">
        <v>CUST024</v>
      </c>
      <c r="O33" t="str">
        <v>Emma Davis</v>
      </c>
      <c r="P33" t="str">
        <v>West</v>
      </c>
      <c r="Q33" t="str">
        <v>Electronics</v>
      </c>
      <c r="R33">
        <v>1526.6</v>
      </c>
      <c r="S33">
        <v>13</v>
      </c>
      <c r="T33">
        <v>0.2</v>
      </c>
      <c r="U33">
        <v>45512</v>
      </c>
      <c r="V33">
        <v>305.32</v>
      </c>
      <c r="W33">
        <v>366.384</v>
      </c>
    </row>
    <row r="34" ht="15.75" spans="1:23">
      <c r="A34" s="2" t="s">
        <v>55</v>
      </c>
      <c r="B34" s="2" t="s">
        <v>74</v>
      </c>
      <c r="C34" s="2" t="s">
        <v>38</v>
      </c>
      <c r="D34" s="2" t="s">
        <v>54</v>
      </c>
      <c r="E34" s="3">
        <v>853.72</v>
      </c>
      <c r="F34" s="3">
        <v>5</v>
      </c>
      <c r="G34" s="3">
        <v>0.15</v>
      </c>
      <c r="H34" s="4">
        <v>45428</v>
      </c>
      <c r="I34" s="3">
        <v>253.98</v>
      </c>
      <c r="J34">
        <f t="shared" si="0"/>
        <v>292.077</v>
      </c>
      <c r="K34" s="6">
        <f t="shared" si="1"/>
        <v>0.133732371269269</v>
      </c>
      <c r="N34" t="str">
        <v>CUST012</v>
      </c>
      <c r="O34" t="str">
        <v>Linda Wilson</v>
      </c>
      <c r="P34" t="str">
        <v>West</v>
      </c>
      <c r="Q34" t="str">
        <v>Electronics</v>
      </c>
      <c r="R34">
        <v>1215.26</v>
      </c>
      <c r="S34">
        <v>5</v>
      </c>
      <c r="T34">
        <v>0.15</v>
      </c>
      <c r="U34">
        <v>45513</v>
      </c>
      <c r="V34">
        <v>258.24</v>
      </c>
      <c r="W34">
        <v>296.976</v>
      </c>
    </row>
    <row r="35" ht="15.75" spans="1:23">
      <c r="A35" s="2" t="s">
        <v>84</v>
      </c>
      <c r="B35" s="2" t="s">
        <v>70</v>
      </c>
      <c r="C35" s="2" t="s">
        <v>47</v>
      </c>
      <c r="D35" s="2" t="s">
        <v>48</v>
      </c>
      <c r="E35" s="3">
        <v>967.89</v>
      </c>
      <c r="F35" s="3">
        <v>10</v>
      </c>
      <c r="G35" s="3">
        <v>0.1</v>
      </c>
      <c r="H35" s="4">
        <v>45429</v>
      </c>
      <c r="I35" s="3">
        <v>217.78</v>
      </c>
      <c r="J35">
        <f t="shared" si="0"/>
        <v>239.558</v>
      </c>
      <c r="K35" s="6">
        <f t="shared" si="1"/>
        <v>0.240740166754487</v>
      </c>
      <c r="N35" t="str">
        <v>CUST005</v>
      </c>
      <c r="O35" t="str">
        <v>Linda Taylor</v>
      </c>
      <c r="P35" t="str">
        <v>Central</v>
      </c>
      <c r="Q35" t="str">
        <v>Furniture</v>
      </c>
      <c r="R35">
        <v>1261.34</v>
      </c>
      <c r="S35">
        <v>3</v>
      </c>
      <c r="T35">
        <v>0</v>
      </c>
      <c r="U35">
        <v>45519</v>
      </c>
      <c r="V35">
        <v>441.47</v>
      </c>
      <c r="W35">
        <v>441.47</v>
      </c>
    </row>
    <row r="36" ht="30.75" spans="1:23">
      <c r="A36" s="2" t="s">
        <v>85</v>
      </c>
      <c r="B36" s="2" t="s">
        <v>80</v>
      </c>
      <c r="C36" s="2" t="s">
        <v>51</v>
      </c>
      <c r="D36" s="2" t="s">
        <v>66</v>
      </c>
      <c r="E36" s="3">
        <v>1200.9</v>
      </c>
      <c r="F36" s="3">
        <v>14</v>
      </c>
      <c r="G36" s="3">
        <v>0.05</v>
      </c>
      <c r="H36" s="4">
        <v>45429</v>
      </c>
      <c r="I36" s="3">
        <v>513.38</v>
      </c>
      <c r="J36">
        <f t="shared" si="0"/>
        <v>539.049</v>
      </c>
      <c r="K36" s="6">
        <f t="shared" si="1"/>
        <v>-0.606645016237822</v>
      </c>
      <c r="N36" t="str">
        <v>CUST026</v>
      </c>
      <c r="O36" t="str">
        <v>Linda Wilson</v>
      </c>
      <c r="P36" t="str">
        <v>West</v>
      </c>
      <c r="Q36" t="str">
        <v>Office Supplies</v>
      </c>
      <c r="R36">
        <v>1111.34</v>
      </c>
      <c r="S36">
        <v>1</v>
      </c>
      <c r="T36">
        <v>0</v>
      </c>
      <c r="U36">
        <v>45523</v>
      </c>
      <c r="V36">
        <v>500.1</v>
      </c>
      <c r="W36">
        <v>500.1</v>
      </c>
    </row>
    <row r="37" ht="30.75" spans="1:23">
      <c r="A37" s="2" t="s">
        <v>40</v>
      </c>
      <c r="B37" s="2" t="s">
        <v>53</v>
      </c>
      <c r="C37" s="2" t="s">
        <v>38</v>
      </c>
      <c r="D37" s="2" t="s">
        <v>39</v>
      </c>
      <c r="E37" s="3">
        <v>472.38</v>
      </c>
      <c r="F37" s="3">
        <v>12</v>
      </c>
      <c r="G37" s="3">
        <v>0.2</v>
      </c>
      <c r="H37" s="4">
        <v>45429</v>
      </c>
      <c r="I37" s="3">
        <v>151.16</v>
      </c>
      <c r="J37">
        <f t="shared" si="0"/>
        <v>181.392</v>
      </c>
      <c r="K37" s="6">
        <f t="shared" si="1"/>
        <v>0.780176976163258</v>
      </c>
      <c r="N37" t="str">
        <v>CUST030</v>
      </c>
      <c r="O37" t="str">
        <v>Mary Davis</v>
      </c>
      <c r="P37" t="str">
        <v>East</v>
      </c>
      <c r="Q37" t="str">
        <v>Clothing</v>
      </c>
      <c r="R37">
        <v>1291.47</v>
      </c>
      <c r="S37">
        <v>18</v>
      </c>
      <c r="T37">
        <v>0.1</v>
      </c>
      <c r="U37">
        <v>45526</v>
      </c>
      <c r="V37">
        <v>581.16</v>
      </c>
      <c r="W37">
        <v>639.276</v>
      </c>
    </row>
    <row r="38" ht="30.75" spans="1:23">
      <c r="A38" s="2" t="s">
        <v>36</v>
      </c>
      <c r="B38" s="2" t="s">
        <v>82</v>
      </c>
      <c r="C38" s="2" t="s">
        <v>45</v>
      </c>
      <c r="D38" s="2" t="s">
        <v>66</v>
      </c>
      <c r="E38" s="3">
        <v>840.92</v>
      </c>
      <c r="F38" s="3">
        <v>9</v>
      </c>
      <c r="G38" s="3">
        <v>0.05</v>
      </c>
      <c r="H38" s="4">
        <v>45429</v>
      </c>
      <c r="I38" s="3">
        <v>359.49</v>
      </c>
      <c r="J38">
        <f t="shared" si="0"/>
        <v>377.4645</v>
      </c>
      <c r="K38" s="6">
        <f t="shared" si="1"/>
        <v>0.676806354944585</v>
      </c>
      <c r="N38" t="str">
        <v>CUST020</v>
      </c>
      <c r="O38" t="str">
        <v>Linda Jackson</v>
      </c>
      <c r="P38" t="str">
        <v>East</v>
      </c>
      <c r="Q38" t="str">
        <v>Furniture</v>
      </c>
      <c r="R38">
        <v>1143.69</v>
      </c>
      <c r="S38">
        <v>17</v>
      </c>
      <c r="T38">
        <v>0</v>
      </c>
      <c r="U38">
        <v>45534</v>
      </c>
      <c r="V38">
        <v>400.29</v>
      </c>
      <c r="W38">
        <v>400.29</v>
      </c>
    </row>
    <row r="39" ht="15.75" spans="1:23">
      <c r="A39" s="2" t="s">
        <v>79</v>
      </c>
      <c r="B39" s="2" t="s">
        <v>75</v>
      </c>
      <c r="C39" s="2" t="s">
        <v>61</v>
      </c>
      <c r="D39" s="2" t="s">
        <v>54</v>
      </c>
      <c r="E39" s="3">
        <v>1410.06</v>
      </c>
      <c r="F39" s="3">
        <v>11</v>
      </c>
      <c r="G39" s="3">
        <v>0.05</v>
      </c>
      <c r="H39" s="4">
        <v>45434</v>
      </c>
      <c r="I39" s="3">
        <v>468.84</v>
      </c>
      <c r="J39">
        <f t="shared" si="0"/>
        <v>492.282</v>
      </c>
      <c r="K39" s="6">
        <f t="shared" si="1"/>
        <v>-0.451732550387927</v>
      </c>
      <c r="N39" t="str">
        <v>CUST005</v>
      </c>
      <c r="O39" t="str">
        <v>Lisa Davis</v>
      </c>
      <c r="P39" t="str">
        <v>Central</v>
      </c>
      <c r="Q39" t="str">
        <v>Books</v>
      </c>
      <c r="R39">
        <v>1070.68</v>
      </c>
      <c r="S39">
        <v>7</v>
      </c>
      <c r="T39">
        <v>0.05</v>
      </c>
      <c r="U39">
        <v>45536</v>
      </c>
      <c r="V39">
        <v>406.86</v>
      </c>
      <c r="W39">
        <v>427.203</v>
      </c>
    </row>
    <row r="40" ht="15.75" spans="1:23">
      <c r="A40" s="2" t="s">
        <v>71</v>
      </c>
      <c r="B40" s="2" t="s">
        <v>86</v>
      </c>
      <c r="C40" s="2" t="s">
        <v>61</v>
      </c>
      <c r="D40" s="2" t="s">
        <v>54</v>
      </c>
      <c r="E40" s="3">
        <v>773.09</v>
      </c>
      <c r="F40" s="3">
        <v>13</v>
      </c>
      <c r="G40" s="3">
        <v>0.15</v>
      </c>
      <c r="H40" s="4">
        <v>45434</v>
      </c>
      <c r="I40" s="3">
        <v>229.99</v>
      </c>
      <c r="J40">
        <f t="shared" si="0"/>
        <v>264.4885</v>
      </c>
      <c r="K40" s="6">
        <f t="shared" si="1"/>
        <v>-0.249207724844455</v>
      </c>
      <c r="N40" t="str">
        <v>CUST015</v>
      </c>
      <c r="O40" t="str">
        <v>David Thomas</v>
      </c>
      <c r="P40" t="str">
        <v>West</v>
      </c>
      <c r="Q40" t="str">
        <v>Clothing</v>
      </c>
      <c r="R40">
        <v>1168.89</v>
      </c>
      <c r="S40">
        <v>4</v>
      </c>
      <c r="T40">
        <v>0.1</v>
      </c>
      <c r="U40">
        <v>45544</v>
      </c>
      <c r="V40">
        <v>526</v>
      </c>
      <c r="W40">
        <v>578.6</v>
      </c>
    </row>
    <row r="41" ht="15.75" spans="1:23">
      <c r="A41" s="2" t="s">
        <v>87</v>
      </c>
      <c r="B41" s="2" t="s">
        <v>88</v>
      </c>
      <c r="C41" s="2" t="s">
        <v>45</v>
      </c>
      <c r="D41" s="2" t="s">
        <v>39</v>
      </c>
      <c r="E41" s="3">
        <v>580.43</v>
      </c>
      <c r="F41" s="3">
        <v>19</v>
      </c>
      <c r="G41" s="3">
        <v>0.15</v>
      </c>
      <c r="H41" s="4">
        <v>45435</v>
      </c>
      <c r="I41" s="3">
        <v>197.35</v>
      </c>
      <c r="J41">
        <f t="shared" si="0"/>
        <v>226.9525</v>
      </c>
      <c r="K41" s="6">
        <f t="shared" si="1"/>
        <v>0.983374394845201</v>
      </c>
      <c r="N41" t="str">
        <v>CUST003</v>
      </c>
      <c r="O41" t="str">
        <v>James Davis</v>
      </c>
      <c r="P41" t="str">
        <v>South</v>
      </c>
      <c r="Q41" t="str">
        <v>Electronics</v>
      </c>
      <c r="R41">
        <v>1335.87</v>
      </c>
      <c r="S41">
        <v>17</v>
      </c>
      <c r="T41">
        <v>0</v>
      </c>
      <c r="U41">
        <v>45544</v>
      </c>
      <c r="V41">
        <v>333.97</v>
      </c>
      <c r="W41">
        <v>333.97</v>
      </c>
    </row>
    <row r="42" ht="15.75" spans="1:23">
      <c r="A42" s="2" t="s">
        <v>46</v>
      </c>
      <c r="B42" s="2" t="s">
        <v>69</v>
      </c>
      <c r="C42" s="2" t="s">
        <v>47</v>
      </c>
      <c r="D42" s="2" t="s">
        <v>39</v>
      </c>
      <c r="E42" s="3">
        <v>1151.21</v>
      </c>
      <c r="F42" s="3">
        <v>15</v>
      </c>
      <c r="G42" s="3">
        <v>0.1</v>
      </c>
      <c r="H42" s="4">
        <v>45445</v>
      </c>
      <c r="I42" s="3">
        <v>414.44</v>
      </c>
      <c r="J42">
        <f t="shared" si="0"/>
        <v>455.884</v>
      </c>
      <c r="K42" s="6">
        <f t="shared" si="1"/>
        <v>-0.108781195437844</v>
      </c>
      <c r="N42" t="str">
        <v>CUST004</v>
      </c>
      <c r="O42" t="str">
        <v>Sarah Davis</v>
      </c>
      <c r="P42" t="str">
        <v>West</v>
      </c>
      <c r="Q42" t="str">
        <v>Office Supplies</v>
      </c>
      <c r="R42">
        <v>1443.98</v>
      </c>
      <c r="S42">
        <v>19</v>
      </c>
      <c r="T42">
        <v>0</v>
      </c>
      <c r="U42">
        <v>45547</v>
      </c>
      <c r="V42">
        <v>649.79</v>
      </c>
      <c r="W42">
        <v>649.79</v>
      </c>
    </row>
    <row r="43" ht="30.75" spans="1:23">
      <c r="A43" s="2" t="s">
        <v>79</v>
      </c>
      <c r="B43" s="2" t="s">
        <v>50</v>
      </c>
      <c r="C43" s="2" t="s">
        <v>61</v>
      </c>
      <c r="D43" s="2" t="s">
        <v>66</v>
      </c>
      <c r="E43" s="3">
        <v>1025.98</v>
      </c>
      <c r="F43" s="3">
        <v>5</v>
      </c>
      <c r="G43" s="3">
        <v>0.2</v>
      </c>
      <c r="H43" s="4">
        <v>45447</v>
      </c>
      <c r="I43" s="3">
        <v>369.35</v>
      </c>
      <c r="J43">
        <f t="shared" si="0"/>
        <v>443.22</v>
      </c>
      <c r="K43" s="6">
        <f t="shared" si="1"/>
        <v>-0.45766974015088</v>
      </c>
      <c r="N43" t="str">
        <v>CUST023</v>
      </c>
      <c r="O43" t="str">
        <v>James Wilson</v>
      </c>
      <c r="P43" t="str">
        <v>East</v>
      </c>
      <c r="Q43" t="str">
        <v>Office Supplies</v>
      </c>
      <c r="R43">
        <v>1154.33</v>
      </c>
      <c r="S43">
        <v>11</v>
      </c>
      <c r="T43">
        <v>0.15</v>
      </c>
      <c r="U43">
        <v>45549</v>
      </c>
      <c r="V43">
        <v>441.53</v>
      </c>
      <c r="W43">
        <v>507.7595</v>
      </c>
    </row>
    <row r="44" ht="30.75" spans="1:23">
      <c r="A44" s="2" t="s">
        <v>67</v>
      </c>
      <c r="B44" s="2" t="s">
        <v>83</v>
      </c>
      <c r="C44" s="2" t="s">
        <v>45</v>
      </c>
      <c r="D44" s="2" t="s">
        <v>66</v>
      </c>
      <c r="E44" s="3">
        <v>556.42</v>
      </c>
      <c r="F44" s="3">
        <v>11</v>
      </c>
      <c r="G44" s="3">
        <v>0.15</v>
      </c>
      <c r="H44" s="4">
        <v>45447</v>
      </c>
      <c r="I44" s="3">
        <v>212.83</v>
      </c>
      <c r="J44">
        <f t="shared" si="0"/>
        <v>244.7545</v>
      </c>
      <c r="K44" s="6">
        <f t="shared" si="1"/>
        <v>0.511178606088926</v>
      </c>
      <c r="N44" t="str">
        <v>CUST022</v>
      </c>
      <c r="O44" t="str">
        <v>Linda Brown</v>
      </c>
      <c r="P44" t="str">
        <v>South</v>
      </c>
      <c r="Q44" t="str">
        <v>Books</v>
      </c>
      <c r="R44">
        <v>1264.49</v>
      </c>
      <c r="S44">
        <v>16</v>
      </c>
      <c r="T44">
        <v>0.05</v>
      </c>
      <c r="U44">
        <v>45549</v>
      </c>
      <c r="V44">
        <v>480.51</v>
      </c>
      <c r="W44">
        <v>504.5355</v>
      </c>
    </row>
    <row r="45" ht="15.75" spans="1:23">
      <c r="A45" s="2" t="s">
        <v>84</v>
      </c>
      <c r="B45" s="2" t="s">
        <v>50</v>
      </c>
      <c r="C45" s="2" t="s">
        <v>61</v>
      </c>
      <c r="D45" s="2" t="s">
        <v>39</v>
      </c>
      <c r="E45" s="3">
        <v>840.85</v>
      </c>
      <c r="F45" s="3">
        <v>19</v>
      </c>
      <c r="G45" s="3">
        <v>0.1</v>
      </c>
      <c r="H45" s="4">
        <v>45448</v>
      </c>
      <c r="I45" s="3">
        <v>302.71</v>
      </c>
      <c r="J45">
        <f t="shared" si="0"/>
        <v>332.981</v>
      </c>
      <c r="K45" s="6">
        <f t="shared" si="1"/>
        <v>0.459534994350954</v>
      </c>
      <c r="N45" t="str">
        <v>CUST007</v>
      </c>
      <c r="O45" t="str">
        <v>Emma Taylor</v>
      </c>
      <c r="P45" t="str">
        <v>West</v>
      </c>
      <c r="Q45" t="str">
        <v>Furniture</v>
      </c>
      <c r="R45">
        <v>1101.55</v>
      </c>
      <c r="S45">
        <v>4</v>
      </c>
      <c r="T45">
        <v>0.1</v>
      </c>
      <c r="U45">
        <v>45551</v>
      </c>
      <c r="V45">
        <v>346.99</v>
      </c>
      <c r="W45">
        <v>381.689</v>
      </c>
    </row>
    <row r="46" ht="15.75" spans="1:23">
      <c r="A46" s="2" t="s">
        <v>57</v>
      </c>
      <c r="B46" s="2" t="s">
        <v>88</v>
      </c>
      <c r="C46" s="2" t="s">
        <v>51</v>
      </c>
      <c r="D46" s="2" t="s">
        <v>54</v>
      </c>
      <c r="E46" s="3">
        <v>1227.25</v>
      </c>
      <c r="F46" s="3">
        <v>12</v>
      </c>
      <c r="G46" s="3">
        <v>0.15</v>
      </c>
      <c r="H46" s="4">
        <v>45448</v>
      </c>
      <c r="I46" s="3">
        <v>365.11</v>
      </c>
      <c r="J46">
        <f t="shared" si="0"/>
        <v>419.8765</v>
      </c>
      <c r="K46" s="6">
        <f t="shared" si="1"/>
        <v>-0.301935221022611</v>
      </c>
      <c r="N46" t="str">
        <v>CUST003</v>
      </c>
      <c r="O46" t="str">
        <v>James Wilson</v>
      </c>
      <c r="P46" t="str">
        <v>West</v>
      </c>
      <c r="Q46" t="str">
        <v>Electronics</v>
      </c>
      <c r="R46">
        <v>1158.94</v>
      </c>
      <c r="S46">
        <v>19</v>
      </c>
      <c r="T46">
        <v>0.2</v>
      </c>
      <c r="U46">
        <v>45553</v>
      </c>
      <c r="V46">
        <v>231.79</v>
      </c>
      <c r="W46">
        <v>278.148</v>
      </c>
    </row>
    <row r="47" ht="15.75" spans="1:23">
      <c r="A47" s="2" t="s">
        <v>43</v>
      </c>
      <c r="B47" s="2" t="s">
        <v>89</v>
      </c>
      <c r="C47" s="2" t="s">
        <v>61</v>
      </c>
      <c r="D47" s="2" t="s">
        <v>48</v>
      </c>
      <c r="E47" s="3">
        <v>856.7</v>
      </c>
      <c r="F47" s="3">
        <v>2</v>
      </c>
      <c r="G47" s="3">
        <v>0</v>
      </c>
      <c r="H47" s="4">
        <v>45449</v>
      </c>
      <c r="I47" s="3">
        <v>214.18</v>
      </c>
      <c r="J47">
        <f t="shared" si="0"/>
        <v>214.18</v>
      </c>
      <c r="K47" s="6">
        <f t="shared" si="1"/>
        <v>0.430395704447298</v>
      </c>
      <c r="N47" t="str">
        <v>CUST029</v>
      </c>
      <c r="O47" t="str">
        <v>Emma Wilson</v>
      </c>
      <c r="P47" t="str">
        <v>West</v>
      </c>
      <c r="Q47" t="str">
        <v>Furniture</v>
      </c>
      <c r="R47">
        <v>1172.97</v>
      </c>
      <c r="S47">
        <v>7</v>
      </c>
      <c r="T47">
        <v>0.15</v>
      </c>
      <c r="U47">
        <v>45559</v>
      </c>
      <c r="V47">
        <v>348.96</v>
      </c>
      <c r="W47">
        <v>401.304</v>
      </c>
    </row>
    <row r="48" ht="30.75" spans="1:23">
      <c r="A48" s="2" t="s">
        <v>81</v>
      </c>
      <c r="B48" s="2" t="s">
        <v>83</v>
      </c>
      <c r="C48" s="2" t="s">
        <v>61</v>
      </c>
      <c r="D48" s="2" t="s">
        <v>66</v>
      </c>
      <c r="E48" s="3">
        <v>1225.42</v>
      </c>
      <c r="F48" s="3">
        <v>8</v>
      </c>
      <c r="G48" s="3">
        <v>0.15</v>
      </c>
      <c r="H48" s="4">
        <v>45449</v>
      </c>
      <c r="I48" s="3">
        <v>468.72</v>
      </c>
      <c r="J48">
        <f t="shared" si="0"/>
        <v>539.028</v>
      </c>
      <c r="K48" s="6">
        <f t="shared" si="1"/>
        <v>-0.182672063455795</v>
      </c>
      <c r="N48" t="str">
        <v>CUST021</v>
      </c>
      <c r="O48" t="str">
        <v>James Wilson</v>
      </c>
      <c r="P48" t="str">
        <v>North</v>
      </c>
      <c r="Q48" t="str">
        <v>Clothing</v>
      </c>
      <c r="R48">
        <v>1205.82</v>
      </c>
      <c r="S48">
        <v>11</v>
      </c>
      <c r="T48">
        <v>0.1</v>
      </c>
      <c r="U48">
        <v>45559</v>
      </c>
      <c r="V48">
        <v>542.62</v>
      </c>
      <c r="W48">
        <v>596.882</v>
      </c>
    </row>
    <row r="49" ht="30.75" spans="1:23">
      <c r="A49" s="2" t="s">
        <v>90</v>
      </c>
      <c r="B49" s="2" t="s">
        <v>58</v>
      </c>
      <c r="C49" s="2" t="s">
        <v>51</v>
      </c>
      <c r="D49" s="2" t="s">
        <v>66</v>
      </c>
      <c r="E49" s="3">
        <v>1001.57</v>
      </c>
      <c r="F49" s="3">
        <v>12</v>
      </c>
      <c r="G49" s="3">
        <v>0</v>
      </c>
      <c r="H49" s="4">
        <v>45450</v>
      </c>
      <c r="I49" s="3">
        <v>450.71</v>
      </c>
      <c r="J49">
        <f t="shared" si="0"/>
        <v>450.71</v>
      </c>
      <c r="K49" s="6">
        <f t="shared" si="1"/>
        <v>0.184989566380782</v>
      </c>
      <c r="N49" t="str">
        <v>CUST008</v>
      </c>
      <c r="O49" t="str">
        <v>David Davis</v>
      </c>
      <c r="P49" t="str">
        <v>Central</v>
      </c>
      <c r="Q49" t="str">
        <v>Electronics</v>
      </c>
      <c r="R49">
        <v>1014.09</v>
      </c>
      <c r="S49">
        <v>13</v>
      </c>
      <c r="T49">
        <v>0.2</v>
      </c>
      <c r="U49">
        <v>45567</v>
      </c>
      <c r="V49">
        <v>202.82</v>
      </c>
      <c r="W49">
        <v>243.384</v>
      </c>
    </row>
    <row r="50" ht="30.75" spans="1:23">
      <c r="A50" s="2" t="s">
        <v>84</v>
      </c>
      <c r="B50" s="2" t="s">
        <v>53</v>
      </c>
      <c r="C50" s="2" t="s">
        <v>45</v>
      </c>
      <c r="D50" s="2" t="s">
        <v>54</v>
      </c>
      <c r="E50" s="3">
        <v>1186.85</v>
      </c>
      <c r="F50" s="3">
        <v>19</v>
      </c>
      <c r="G50" s="3">
        <v>0.2</v>
      </c>
      <c r="H50" s="4">
        <v>45451</v>
      </c>
      <c r="I50" s="3">
        <v>332.32</v>
      </c>
      <c r="J50">
        <f t="shared" si="0"/>
        <v>398.784</v>
      </c>
      <c r="K50" s="6">
        <f t="shared" si="1"/>
        <v>-0.346631840586426</v>
      </c>
      <c r="N50" t="str">
        <v>CUST025</v>
      </c>
      <c r="O50" t="str">
        <v>Mary Jackson</v>
      </c>
      <c r="P50" t="str">
        <v>East</v>
      </c>
      <c r="Q50" t="str">
        <v>Furniture</v>
      </c>
      <c r="R50">
        <v>1286.54</v>
      </c>
      <c r="S50">
        <v>8</v>
      </c>
      <c r="T50">
        <v>0</v>
      </c>
      <c r="U50">
        <v>45575</v>
      </c>
      <c r="V50">
        <v>450.29</v>
      </c>
      <c r="W50">
        <v>450.29</v>
      </c>
    </row>
    <row r="51" ht="15.75" spans="1:23">
      <c r="A51" s="2" t="s">
        <v>71</v>
      </c>
      <c r="B51" s="2" t="s">
        <v>78</v>
      </c>
      <c r="C51" s="2" t="s">
        <v>47</v>
      </c>
      <c r="D51" s="2" t="s">
        <v>48</v>
      </c>
      <c r="E51" s="3">
        <v>775.45</v>
      </c>
      <c r="F51" s="3">
        <v>6</v>
      </c>
      <c r="G51" s="3">
        <v>0.1</v>
      </c>
      <c r="H51" s="4">
        <v>45457</v>
      </c>
      <c r="I51" s="3">
        <v>174.48</v>
      </c>
      <c r="J51">
        <f t="shared" si="0"/>
        <v>191.928</v>
      </c>
      <c r="K51" s="6">
        <f t="shared" si="1"/>
        <v>0.317260945257592</v>
      </c>
      <c r="N51" t="str">
        <v>CUST008</v>
      </c>
      <c r="O51" t="str">
        <v>James Wilson</v>
      </c>
      <c r="P51" t="str">
        <v>East</v>
      </c>
      <c r="Q51" t="str">
        <v>Books</v>
      </c>
      <c r="R51">
        <v>1081.14</v>
      </c>
      <c r="S51">
        <v>19</v>
      </c>
      <c r="T51">
        <v>0.15</v>
      </c>
      <c r="U51">
        <v>45577</v>
      </c>
      <c r="V51">
        <v>367.59</v>
      </c>
      <c r="W51">
        <v>422.7285</v>
      </c>
    </row>
    <row r="52" ht="15.75" spans="1:23">
      <c r="A52" s="2" t="s">
        <v>52</v>
      </c>
      <c r="B52" s="2" t="s">
        <v>60</v>
      </c>
      <c r="C52" s="2" t="s">
        <v>47</v>
      </c>
      <c r="D52" s="2" t="s">
        <v>48</v>
      </c>
      <c r="E52" s="3">
        <v>1021.47</v>
      </c>
      <c r="F52" s="3">
        <v>6</v>
      </c>
      <c r="G52" s="3">
        <v>0.05</v>
      </c>
      <c r="H52" s="4">
        <v>45461</v>
      </c>
      <c r="I52" s="3">
        <v>242.6</v>
      </c>
      <c r="J52">
        <f t="shared" si="0"/>
        <v>254.73</v>
      </c>
      <c r="K52" s="6">
        <f t="shared" si="1"/>
        <v>0.200838007968907</v>
      </c>
      <c r="N52" t="str">
        <v>CUST015</v>
      </c>
      <c r="O52" t="str">
        <v>James Wilson</v>
      </c>
      <c r="P52" t="str">
        <v>West</v>
      </c>
      <c r="Q52" t="str">
        <v>Clothing</v>
      </c>
      <c r="R52">
        <v>1923.66</v>
      </c>
      <c r="S52">
        <v>9</v>
      </c>
      <c r="T52">
        <v>0.2</v>
      </c>
      <c r="U52">
        <v>45580</v>
      </c>
      <c r="V52">
        <v>769.46</v>
      </c>
      <c r="W52">
        <v>923.352</v>
      </c>
    </row>
    <row r="53" ht="15.75" spans="1:23">
      <c r="A53" s="2" t="s">
        <v>85</v>
      </c>
      <c r="B53" s="2" t="s">
        <v>50</v>
      </c>
      <c r="C53" s="2" t="s">
        <v>47</v>
      </c>
      <c r="D53" s="2" t="s">
        <v>42</v>
      </c>
      <c r="E53" s="3">
        <v>1226.62</v>
      </c>
      <c r="F53" s="3">
        <v>7</v>
      </c>
      <c r="G53" s="3">
        <v>0.1</v>
      </c>
      <c r="H53" s="4">
        <v>45463</v>
      </c>
      <c r="I53" s="3">
        <v>551.98</v>
      </c>
      <c r="J53">
        <f t="shared" si="0"/>
        <v>607.178</v>
      </c>
      <c r="K53" s="6">
        <f t="shared" si="1"/>
        <v>-0.113882049860592</v>
      </c>
      <c r="N53" t="str">
        <v>CUST019</v>
      </c>
      <c r="O53" t="str">
        <v>Linda Jackson</v>
      </c>
      <c r="P53" t="str">
        <v>Central</v>
      </c>
      <c r="Q53" t="str">
        <v>Clothing</v>
      </c>
      <c r="R53">
        <v>1301.89</v>
      </c>
      <c r="S53">
        <v>7</v>
      </c>
      <c r="T53">
        <v>0.15</v>
      </c>
      <c r="U53">
        <v>45581</v>
      </c>
      <c r="V53">
        <v>553.3</v>
      </c>
      <c r="W53">
        <v>636.295</v>
      </c>
    </row>
    <row r="54" ht="15.75" spans="1:23">
      <c r="A54" s="2" t="s">
        <v>49</v>
      </c>
      <c r="B54" s="2" t="s">
        <v>91</v>
      </c>
      <c r="C54" s="2" t="s">
        <v>47</v>
      </c>
      <c r="D54" s="2" t="s">
        <v>54</v>
      </c>
      <c r="E54" s="3">
        <v>1086.93</v>
      </c>
      <c r="F54" s="3">
        <v>2</v>
      </c>
      <c r="G54" s="3">
        <v>0</v>
      </c>
      <c r="H54" s="4">
        <v>45464</v>
      </c>
      <c r="I54" s="3">
        <v>380.43</v>
      </c>
      <c r="J54">
        <f t="shared" si="0"/>
        <v>380.43</v>
      </c>
      <c r="K54" s="6">
        <f t="shared" si="1"/>
        <v>-0.132510833264332</v>
      </c>
      <c r="N54" t="str">
        <v>CUST006</v>
      </c>
      <c r="O54" t="str">
        <v>David Anderson</v>
      </c>
      <c r="P54" t="str">
        <v>West</v>
      </c>
      <c r="Q54" t="str">
        <v>Furniture</v>
      </c>
      <c r="R54">
        <v>1193.61</v>
      </c>
      <c r="S54">
        <v>1</v>
      </c>
      <c r="T54">
        <v>0.15</v>
      </c>
      <c r="U54">
        <v>45584</v>
      </c>
      <c r="V54">
        <v>355.1</v>
      </c>
      <c r="W54">
        <v>408.365</v>
      </c>
    </row>
    <row r="55" ht="15.75" spans="1:23">
      <c r="A55" s="2" t="s">
        <v>92</v>
      </c>
      <c r="B55" s="2" t="s">
        <v>75</v>
      </c>
      <c r="C55" s="2" t="s">
        <v>38</v>
      </c>
      <c r="D55" s="2" t="s">
        <v>39</v>
      </c>
      <c r="E55" s="3">
        <v>942.9</v>
      </c>
      <c r="F55" s="3">
        <v>18</v>
      </c>
      <c r="G55" s="3">
        <v>0.1</v>
      </c>
      <c r="H55" s="4">
        <v>45466</v>
      </c>
      <c r="I55" s="3">
        <v>339.44</v>
      </c>
      <c r="J55">
        <f t="shared" si="0"/>
        <v>373.384</v>
      </c>
      <c r="K55" s="6">
        <f t="shared" si="1"/>
        <v>-0.131615229610775</v>
      </c>
      <c r="N55" t="str">
        <v>CUST013</v>
      </c>
      <c r="O55" t="str">
        <v>Linda Wilson</v>
      </c>
      <c r="P55" t="str">
        <v>Central</v>
      </c>
      <c r="Q55" t="str">
        <v>Books</v>
      </c>
      <c r="R55">
        <v>1249.1</v>
      </c>
      <c r="S55">
        <v>4</v>
      </c>
      <c r="T55">
        <v>0.05</v>
      </c>
      <c r="U55">
        <v>45597</v>
      </c>
      <c r="V55">
        <v>474.66</v>
      </c>
      <c r="W55">
        <v>498.393</v>
      </c>
    </row>
    <row r="56" ht="15.75" spans="1:23">
      <c r="A56" s="2" t="s">
        <v>59</v>
      </c>
      <c r="B56" s="2" t="s">
        <v>65</v>
      </c>
      <c r="C56" s="2" t="s">
        <v>51</v>
      </c>
      <c r="D56" s="2" t="s">
        <v>48</v>
      </c>
      <c r="E56" s="3">
        <v>818.8</v>
      </c>
      <c r="F56" s="3">
        <v>15</v>
      </c>
      <c r="G56" s="3">
        <v>0.15</v>
      </c>
      <c r="H56" s="4">
        <v>45468</v>
      </c>
      <c r="I56" s="3">
        <v>173.99</v>
      </c>
      <c r="J56">
        <f t="shared" si="0"/>
        <v>200.0885</v>
      </c>
      <c r="K56" s="6">
        <f t="shared" si="1"/>
        <v>0.122423058133854</v>
      </c>
      <c r="N56" t="str">
        <v>CUST008</v>
      </c>
      <c r="O56" t="str">
        <v>James Wilson</v>
      </c>
      <c r="P56" t="str">
        <v>East</v>
      </c>
      <c r="Q56" t="str">
        <v>Office Supplies</v>
      </c>
      <c r="R56">
        <v>1014.22</v>
      </c>
      <c r="S56">
        <v>14</v>
      </c>
      <c r="T56">
        <v>0.05</v>
      </c>
      <c r="U56">
        <v>45599</v>
      </c>
      <c r="V56">
        <v>433.58</v>
      </c>
      <c r="W56">
        <v>455.259</v>
      </c>
    </row>
    <row r="57" ht="15.75" spans="1:23">
      <c r="A57" s="2" t="s">
        <v>46</v>
      </c>
      <c r="B57" s="2" t="s">
        <v>41</v>
      </c>
      <c r="C57" s="2" t="s">
        <v>47</v>
      </c>
      <c r="D57" s="2" t="s">
        <v>54</v>
      </c>
      <c r="E57" s="3">
        <v>919.04</v>
      </c>
      <c r="F57" s="3">
        <v>10</v>
      </c>
      <c r="G57" s="3">
        <v>0.2</v>
      </c>
      <c r="H57" s="4">
        <v>45468</v>
      </c>
      <c r="I57" s="3">
        <v>257.33</v>
      </c>
      <c r="J57">
        <f t="shared" si="0"/>
        <v>308.796</v>
      </c>
      <c r="K57" s="6">
        <f t="shared" si="1"/>
        <v>0.0589963440111421</v>
      </c>
      <c r="N57" t="str">
        <v>CUST025</v>
      </c>
      <c r="O57" t="str">
        <v>Lisa Davis</v>
      </c>
      <c r="P57" t="str">
        <v>East</v>
      </c>
      <c r="Q57" t="str">
        <v>Books</v>
      </c>
      <c r="R57">
        <v>1010.58</v>
      </c>
      <c r="S57">
        <v>2</v>
      </c>
      <c r="T57">
        <v>0.15</v>
      </c>
      <c r="U57">
        <v>45605</v>
      </c>
      <c r="V57">
        <v>343.6</v>
      </c>
      <c r="W57">
        <v>395.14</v>
      </c>
    </row>
    <row r="58" ht="15.75" spans="1:23">
      <c r="A58" s="2" t="s">
        <v>49</v>
      </c>
      <c r="B58" s="2" t="s">
        <v>93</v>
      </c>
      <c r="C58" s="2" t="s">
        <v>61</v>
      </c>
      <c r="D58" s="2" t="s">
        <v>39</v>
      </c>
      <c r="E58" s="3">
        <v>973.26</v>
      </c>
      <c r="F58" s="3">
        <v>11</v>
      </c>
      <c r="G58" s="3">
        <v>0</v>
      </c>
      <c r="H58" s="4">
        <v>45470</v>
      </c>
      <c r="I58" s="3">
        <v>389.3</v>
      </c>
      <c r="J58">
        <f t="shared" si="0"/>
        <v>389.3</v>
      </c>
      <c r="K58" s="6">
        <f t="shared" si="1"/>
        <v>-0.238014507942379</v>
      </c>
      <c r="N58" t="str">
        <v>CUST001</v>
      </c>
      <c r="O58" t="str">
        <v>Lisa Thomas</v>
      </c>
      <c r="P58" t="str">
        <v>North</v>
      </c>
      <c r="Q58" t="str">
        <v>Furniture</v>
      </c>
      <c r="R58">
        <v>1077.92</v>
      </c>
      <c r="S58">
        <v>3</v>
      </c>
      <c r="T58">
        <v>0.05</v>
      </c>
      <c r="U58">
        <v>45608</v>
      </c>
      <c r="V58">
        <v>358.41</v>
      </c>
      <c r="W58">
        <v>376.3305</v>
      </c>
    </row>
    <row r="59" ht="15.75" spans="1:23">
      <c r="A59" s="2" t="s">
        <v>68</v>
      </c>
      <c r="B59" s="2" t="s">
        <v>91</v>
      </c>
      <c r="C59" s="2" t="s">
        <v>51</v>
      </c>
      <c r="D59" s="2" t="s">
        <v>48</v>
      </c>
      <c r="E59" s="3">
        <v>741.61</v>
      </c>
      <c r="F59" s="3">
        <v>1</v>
      </c>
      <c r="G59" s="3">
        <v>0.2</v>
      </c>
      <c r="H59" s="4">
        <v>45471</v>
      </c>
      <c r="I59" s="3">
        <v>148.32</v>
      </c>
      <c r="J59">
        <f t="shared" si="0"/>
        <v>177.984</v>
      </c>
      <c r="K59" s="6">
        <f t="shared" si="1"/>
        <v>0.683930907080541</v>
      </c>
      <c r="N59" t="str">
        <v>CUST028</v>
      </c>
      <c r="O59" t="str">
        <v>Linda Brown</v>
      </c>
      <c r="P59" t="str">
        <v>South</v>
      </c>
      <c r="Q59" t="str">
        <v>Clothing</v>
      </c>
      <c r="R59">
        <v>1163.01</v>
      </c>
      <c r="S59">
        <v>5</v>
      </c>
      <c r="T59">
        <v>0</v>
      </c>
      <c r="U59">
        <v>45611</v>
      </c>
      <c r="V59">
        <v>581.5</v>
      </c>
      <c r="W59">
        <v>581.5</v>
      </c>
    </row>
    <row r="60" ht="15.75" spans="1:23">
      <c r="A60" s="2" t="s">
        <v>94</v>
      </c>
      <c r="B60" s="2" t="s">
        <v>65</v>
      </c>
      <c r="C60" s="2" t="s">
        <v>51</v>
      </c>
      <c r="D60" s="2" t="s">
        <v>39</v>
      </c>
      <c r="E60" s="3">
        <v>1248.82</v>
      </c>
      <c r="F60" s="3">
        <v>2</v>
      </c>
      <c r="G60" s="3">
        <v>0.1</v>
      </c>
      <c r="H60" s="4">
        <v>45473</v>
      </c>
      <c r="I60" s="3">
        <v>449.58</v>
      </c>
      <c r="J60">
        <f t="shared" si="0"/>
        <v>494.538</v>
      </c>
      <c r="K60" s="6">
        <f t="shared" si="1"/>
        <v>0.0893163146009833</v>
      </c>
      <c r="N60" t="str">
        <v>CUST025</v>
      </c>
      <c r="O60" t="str">
        <v>Lisa Thomas</v>
      </c>
      <c r="P60" t="str">
        <v>East</v>
      </c>
      <c r="Q60" t="str">
        <v>Office Supplies</v>
      </c>
      <c r="R60">
        <v>1014.56</v>
      </c>
      <c r="S60">
        <v>10</v>
      </c>
      <c r="T60">
        <v>0.1</v>
      </c>
      <c r="U60">
        <v>45612</v>
      </c>
      <c r="V60">
        <v>410.9</v>
      </c>
      <c r="W60">
        <v>451.99</v>
      </c>
    </row>
    <row r="61" ht="15.75" spans="1:23">
      <c r="A61" s="2" t="s">
        <v>40</v>
      </c>
      <c r="B61" s="2" t="s">
        <v>86</v>
      </c>
      <c r="C61" s="2" t="s">
        <v>38</v>
      </c>
      <c r="D61" s="2" t="s">
        <v>42</v>
      </c>
      <c r="E61" s="3">
        <v>1360.36</v>
      </c>
      <c r="F61" s="3">
        <v>17</v>
      </c>
      <c r="G61" s="3">
        <v>0</v>
      </c>
      <c r="H61" s="4">
        <v>45473</v>
      </c>
      <c r="I61" s="3">
        <v>680.18</v>
      </c>
      <c r="J61">
        <f t="shared" si="0"/>
        <v>680.18</v>
      </c>
      <c r="K61" s="6">
        <f t="shared" si="1"/>
        <v>0.0168631832750155</v>
      </c>
      <c r="N61" t="str">
        <v>CUST004</v>
      </c>
      <c r="O61" t="str">
        <v>James Taylor</v>
      </c>
      <c r="P61" t="str">
        <v>Central</v>
      </c>
      <c r="Q61" t="str">
        <v>Clothing</v>
      </c>
      <c r="R61">
        <v>1277.85</v>
      </c>
      <c r="S61">
        <v>18</v>
      </c>
      <c r="T61">
        <v>0.2</v>
      </c>
      <c r="U61">
        <v>45613</v>
      </c>
      <c r="V61">
        <v>511.14</v>
      </c>
      <c r="W61">
        <v>613.368</v>
      </c>
    </row>
    <row r="62" ht="15.75" spans="1:23">
      <c r="A62" s="2" t="s">
        <v>84</v>
      </c>
      <c r="B62" s="2" t="s">
        <v>58</v>
      </c>
      <c r="C62" s="2" t="s">
        <v>45</v>
      </c>
      <c r="D62" s="2" t="s">
        <v>39</v>
      </c>
      <c r="E62" s="3">
        <v>1383.3</v>
      </c>
      <c r="F62" s="3">
        <v>8</v>
      </c>
      <c r="G62" s="3">
        <v>0.1</v>
      </c>
      <c r="H62" s="4">
        <v>45478</v>
      </c>
      <c r="I62" s="3">
        <v>497.99</v>
      </c>
      <c r="J62">
        <f t="shared" si="0"/>
        <v>547.789</v>
      </c>
      <c r="K62" s="6">
        <f t="shared" si="1"/>
        <v>-0.646504735053857</v>
      </c>
      <c r="N62" t="str">
        <v>CUST002</v>
      </c>
      <c r="O62" t="str">
        <v>Linda Brown</v>
      </c>
      <c r="P62" t="str">
        <v>East</v>
      </c>
      <c r="Q62" t="str">
        <v>Electronics</v>
      </c>
      <c r="R62">
        <v>1410.59</v>
      </c>
      <c r="S62">
        <v>15</v>
      </c>
      <c r="T62">
        <v>0</v>
      </c>
      <c r="U62">
        <v>45615</v>
      </c>
      <c r="V62">
        <v>352.65</v>
      </c>
      <c r="W62">
        <v>352.65</v>
      </c>
    </row>
    <row r="63" ht="30.75" spans="1:23">
      <c r="A63" s="2" t="s">
        <v>62</v>
      </c>
      <c r="B63" s="2" t="s">
        <v>82</v>
      </c>
      <c r="C63" s="2" t="s">
        <v>61</v>
      </c>
      <c r="D63" s="2" t="s">
        <v>66</v>
      </c>
      <c r="E63" s="3">
        <v>488.99</v>
      </c>
      <c r="F63" s="3">
        <v>9</v>
      </c>
      <c r="G63" s="3">
        <v>0</v>
      </c>
      <c r="H63" s="4">
        <v>45479</v>
      </c>
      <c r="I63" s="3">
        <v>220.05</v>
      </c>
      <c r="J63">
        <f t="shared" si="0"/>
        <v>220.05</v>
      </c>
      <c r="K63" s="6">
        <f t="shared" si="1"/>
        <v>0.909466451256672</v>
      </c>
      <c r="N63" t="str">
        <v>CUST009</v>
      </c>
      <c r="O63" t="str">
        <v>Emma Wilson</v>
      </c>
      <c r="P63" t="str">
        <v>South</v>
      </c>
      <c r="Q63" t="str">
        <v>Furniture</v>
      </c>
      <c r="R63">
        <v>1350.33</v>
      </c>
      <c r="S63">
        <v>10</v>
      </c>
      <c r="T63">
        <v>0</v>
      </c>
      <c r="U63">
        <v>45615</v>
      </c>
      <c r="V63">
        <v>472.62</v>
      </c>
      <c r="W63">
        <v>472.62</v>
      </c>
    </row>
    <row r="64" ht="15.75" spans="1:23">
      <c r="A64" s="2" t="s">
        <v>57</v>
      </c>
      <c r="B64" s="2" t="s">
        <v>58</v>
      </c>
      <c r="C64" s="2" t="s">
        <v>45</v>
      </c>
      <c r="D64" s="2" t="s">
        <v>54</v>
      </c>
      <c r="E64" s="3">
        <v>933.71</v>
      </c>
      <c r="F64" s="3">
        <v>17</v>
      </c>
      <c r="G64" s="3">
        <v>0.1</v>
      </c>
      <c r="H64" s="4">
        <v>45481</v>
      </c>
      <c r="I64" s="3">
        <v>294.12</v>
      </c>
      <c r="J64">
        <f t="shared" si="0"/>
        <v>323.532</v>
      </c>
      <c r="K64" s="6">
        <f t="shared" si="1"/>
        <v>0.0769189577063542</v>
      </c>
      <c r="N64" t="str">
        <v>CUST011</v>
      </c>
      <c r="O64" t="str">
        <v>Emma Wilson</v>
      </c>
      <c r="P64" t="str">
        <v>East</v>
      </c>
      <c r="Q64" t="str">
        <v>Books</v>
      </c>
      <c r="R64">
        <v>1213.48</v>
      </c>
      <c r="S64">
        <v>5</v>
      </c>
      <c r="T64">
        <v>0.05</v>
      </c>
      <c r="U64">
        <v>45616</v>
      </c>
      <c r="V64">
        <v>461.12</v>
      </c>
      <c r="W64">
        <v>484.176</v>
      </c>
    </row>
    <row r="65" ht="15.75" spans="1:23">
      <c r="A65" s="2" t="s">
        <v>94</v>
      </c>
      <c r="B65" s="2" t="s">
        <v>37</v>
      </c>
      <c r="C65" s="2" t="s">
        <v>38</v>
      </c>
      <c r="D65" s="2" t="s">
        <v>48</v>
      </c>
      <c r="E65" s="3">
        <v>1005.53</v>
      </c>
      <c r="F65" s="3">
        <v>17</v>
      </c>
      <c r="G65" s="3">
        <v>0.2</v>
      </c>
      <c r="H65" s="4">
        <v>45481</v>
      </c>
      <c r="I65" s="3">
        <v>201.11</v>
      </c>
      <c r="J65">
        <f t="shared" si="0"/>
        <v>241.332</v>
      </c>
      <c r="K65" s="6">
        <f t="shared" si="1"/>
        <v>0.0940499040307101</v>
      </c>
      <c r="N65" t="str">
        <v>CUST021</v>
      </c>
      <c r="O65" t="str">
        <v>Emma Davis</v>
      </c>
      <c r="P65" t="str">
        <v>Central</v>
      </c>
      <c r="Q65" t="str">
        <v>Books</v>
      </c>
      <c r="R65">
        <v>1150.28</v>
      </c>
      <c r="S65">
        <v>8</v>
      </c>
      <c r="T65">
        <v>0.05</v>
      </c>
      <c r="U65">
        <v>45622</v>
      </c>
      <c r="V65">
        <v>437.11</v>
      </c>
      <c r="W65">
        <v>458.9655</v>
      </c>
    </row>
    <row r="66" ht="15.75" spans="1:23">
      <c r="A66" s="2" t="s">
        <v>68</v>
      </c>
      <c r="B66" s="2" t="s">
        <v>88</v>
      </c>
      <c r="C66" s="2" t="s">
        <v>47</v>
      </c>
      <c r="D66" s="2" t="s">
        <v>48</v>
      </c>
      <c r="E66" s="3">
        <v>1100.1</v>
      </c>
      <c r="F66" s="3">
        <v>5</v>
      </c>
      <c r="G66" s="3">
        <v>0.05</v>
      </c>
      <c r="H66" s="4">
        <v>45482</v>
      </c>
      <c r="I66" s="3">
        <v>261.27</v>
      </c>
      <c r="J66">
        <f t="shared" si="0"/>
        <v>274.3335</v>
      </c>
      <c r="K66" s="6">
        <f t="shared" si="1"/>
        <v>-0.0594491409871829</v>
      </c>
      <c r="N66" t="str">
        <v>CUST018</v>
      </c>
      <c r="O66" t="str">
        <v>Lisa Thomas</v>
      </c>
      <c r="P66" t="str">
        <v>South</v>
      </c>
      <c r="Q66" t="str">
        <v>Electronics</v>
      </c>
      <c r="R66">
        <v>1061.04</v>
      </c>
      <c r="S66">
        <v>1</v>
      </c>
      <c r="T66">
        <v>0</v>
      </c>
      <c r="U66">
        <v>45624</v>
      </c>
      <c r="V66">
        <v>265.26</v>
      </c>
      <c r="W66">
        <v>265.26</v>
      </c>
    </row>
    <row r="67" ht="15.75" spans="1:23">
      <c r="A67" s="2" t="s">
        <v>94</v>
      </c>
      <c r="B67" s="2" t="s">
        <v>50</v>
      </c>
      <c r="C67" s="2" t="s">
        <v>51</v>
      </c>
      <c r="D67" s="2" t="s">
        <v>54</v>
      </c>
      <c r="E67" s="3">
        <v>1034.7</v>
      </c>
      <c r="F67" s="3">
        <v>15</v>
      </c>
      <c r="G67" s="3">
        <v>0.15</v>
      </c>
      <c r="H67" s="4">
        <v>45487</v>
      </c>
      <c r="I67" s="3">
        <v>307.82</v>
      </c>
      <c r="J67">
        <f t="shared" ref="J67:J130" si="2">I67+(I67*G67)</f>
        <v>353.993</v>
      </c>
      <c r="K67" s="6">
        <f t="shared" ref="K67:K130" si="3">(E68-E67)/E67</f>
        <v>-0.152952546631874</v>
      </c>
      <c r="N67" t="str">
        <v>CUST001</v>
      </c>
      <c r="O67" t="str">
        <v>Michael Anderson</v>
      </c>
      <c r="P67" t="str">
        <v>Central</v>
      </c>
      <c r="Q67" t="str">
        <v>Furniture</v>
      </c>
      <c r="R67">
        <v>1432.47</v>
      </c>
      <c r="S67">
        <v>16</v>
      </c>
      <c r="T67">
        <v>0.15</v>
      </c>
      <c r="U67">
        <v>45640</v>
      </c>
      <c r="V67">
        <v>426.16</v>
      </c>
      <c r="W67">
        <v>490.084</v>
      </c>
    </row>
    <row r="68" ht="15.75" spans="1:23">
      <c r="A68" s="2" t="s">
        <v>92</v>
      </c>
      <c r="B68" s="2" t="s">
        <v>58</v>
      </c>
      <c r="C68" s="2" t="s">
        <v>47</v>
      </c>
      <c r="D68" s="2" t="s">
        <v>39</v>
      </c>
      <c r="E68" s="3">
        <v>876.44</v>
      </c>
      <c r="F68" s="3">
        <v>12</v>
      </c>
      <c r="G68" s="3">
        <v>0.05</v>
      </c>
      <c r="H68" s="4">
        <v>45488</v>
      </c>
      <c r="I68" s="3">
        <v>333.05</v>
      </c>
      <c r="J68">
        <f t="shared" si="2"/>
        <v>349.7025</v>
      </c>
      <c r="K68" s="6">
        <f t="shared" si="3"/>
        <v>0.564670713340331</v>
      </c>
      <c r="N68" t="str">
        <v>CUST027</v>
      </c>
      <c r="O68" t="str">
        <v>Linda Wilson</v>
      </c>
      <c r="P68" t="str">
        <v>Central</v>
      </c>
      <c r="Q68" t="str">
        <v>Electronics</v>
      </c>
      <c r="R68">
        <v>1488.58</v>
      </c>
      <c r="S68">
        <v>10</v>
      </c>
      <c r="T68">
        <v>0.15</v>
      </c>
      <c r="U68">
        <v>45640</v>
      </c>
      <c r="V68">
        <v>316.32</v>
      </c>
      <c r="W68">
        <v>363.768</v>
      </c>
    </row>
    <row r="69" ht="15.75" spans="1:23">
      <c r="A69" s="2" t="s">
        <v>95</v>
      </c>
      <c r="B69" s="2" t="s">
        <v>82</v>
      </c>
      <c r="C69" s="2" t="s">
        <v>38</v>
      </c>
      <c r="D69" s="2" t="s">
        <v>54</v>
      </c>
      <c r="E69" s="3">
        <v>1371.34</v>
      </c>
      <c r="F69" s="3">
        <v>5</v>
      </c>
      <c r="G69" s="3">
        <v>0.05</v>
      </c>
      <c r="H69" s="4">
        <v>45488</v>
      </c>
      <c r="I69" s="3">
        <v>455.97</v>
      </c>
      <c r="J69">
        <f t="shared" si="2"/>
        <v>478.7685</v>
      </c>
      <c r="K69" s="6">
        <f t="shared" si="3"/>
        <v>-0.256012367465399</v>
      </c>
      <c r="N69" t="str">
        <v>CUST026</v>
      </c>
      <c r="O69" t="str">
        <v>Emma Taylor</v>
      </c>
      <c r="P69" t="str">
        <v>East</v>
      </c>
      <c r="Q69" t="str">
        <v>Books</v>
      </c>
      <c r="R69">
        <v>1231.26</v>
      </c>
      <c r="S69">
        <v>9</v>
      </c>
      <c r="T69">
        <v>0</v>
      </c>
      <c r="U69">
        <v>45646</v>
      </c>
      <c r="V69">
        <v>492.5</v>
      </c>
      <c r="W69">
        <v>492.5</v>
      </c>
    </row>
    <row r="70" ht="15.75" spans="1:23">
      <c r="A70" s="2" t="s">
        <v>84</v>
      </c>
      <c r="B70" s="2" t="s">
        <v>74</v>
      </c>
      <c r="C70" s="2" t="s">
        <v>51</v>
      </c>
      <c r="D70" s="2" t="s">
        <v>48</v>
      </c>
      <c r="E70" s="3">
        <v>1020.26</v>
      </c>
      <c r="F70" s="3">
        <v>11</v>
      </c>
      <c r="G70" s="3">
        <v>0.05</v>
      </c>
      <c r="H70" s="4">
        <v>45494</v>
      </c>
      <c r="I70" s="3">
        <v>242.31</v>
      </c>
      <c r="J70">
        <f t="shared" si="2"/>
        <v>254.4255</v>
      </c>
      <c r="K70" s="6">
        <f t="shared" si="3"/>
        <v>-0.211171662125341</v>
      </c>
      <c r="N70" t="str">
        <v>CUST026</v>
      </c>
      <c r="O70" t="str">
        <v>Sarah Anderson</v>
      </c>
      <c r="P70" t="str">
        <v>West</v>
      </c>
      <c r="Q70" t="str">
        <v>Electronics</v>
      </c>
      <c r="R70">
        <v>1161.67</v>
      </c>
      <c r="S70">
        <v>19</v>
      </c>
      <c r="T70">
        <v>0.2</v>
      </c>
      <c r="U70">
        <v>45647</v>
      </c>
      <c r="V70">
        <v>232.33</v>
      </c>
      <c r="W70">
        <v>278.796</v>
      </c>
    </row>
    <row r="71" ht="30.75" spans="1:23">
      <c r="A71" s="2" t="s">
        <v>71</v>
      </c>
      <c r="B71" s="2" t="s">
        <v>37</v>
      </c>
      <c r="C71" s="2" t="s">
        <v>61</v>
      </c>
      <c r="D71" s="2" t="s">
        <v>66</v>
      </c>
      <c r="E71" s="3">
        <v>804.81</v>
      </c>
      <c r="F71" s="3">
        <v>1</v>
      </c>
      <c r="G71" s="3">
        <v>0.05</v>
      </c>
      <c r="H71" s="4">
        <v>45502</v>
      </c>
      <c r="I71" s="3">
        <v>344.06</v>
      </c>
      <c r="J71">
        <f t="shared" si="2"/>
        <v>361.263</v>
      </c>
      <c r="K71" s="6">
        <f t="shared" si="3"/>
        <v>-0.243722120748997</v>
      </c>
      <c r="N71" t="str">
        <v>CUST004</v>
      </c>
      <c r="O71" t="str">
        <v>Mary Davis</v>
      </c>
      <c r="P71" t="str">
        <v>North</v>
      </c>
      <c r="Q71" t="str">
        <v>Clothing</v>
      </c>
      <c r="R71">
        <v>1589.42</v>
      </c>
      <c r="S71">
        <v>6</v>
      </c>
      <c r="T71">
        <v>0.15</v>
      </c>
      <c r="U71">
        <v>45651</v>
      </c>
      <c r="V71">
        <v>675.5</v>
      </c>
      <c r="W71">
        <v>776.825</v>
      </c>
    </row>
    <row r="72" ht="15.75" spans="1:23">
      <c r="A72" s="2" t="s">
        <v>49</v>
      </c>
      <c r="B72" s="2" t="s">
        <v>82</v>
      </c>
      <c r="C72" s="2" t="s">
        <v>61</v>
      </c>
      <c r="D72" s="2" t="s">
        <v>48</v>
      </c>
      <c r="E72" s="3">
        <v>608.66</v>
      </c>
      <c r="F72" s="3">
        <v>1</v>
      </c>
      <c r="G72" s="3">
        <v>0.05</v>
      </c>
      <c r="H72" s="4">
        <v>45503</v>
      </c>
      <c r="I72" s="3">
        <v>144.56</v>
      </c>
      <c r="J72">
        <f t="shared" si="2"/>
        <v>151.788</v>
      </c>
      <c r="K72" s="6">
        <f t="shared" si="3"/>
        <v>0.612065849571189</v>
      </c>
      <c r="N72" t="str">
        <v>CUST022</v>
      </c>
      <c r="O72" t="str">
        <v>James Wilson</v>
      </c>
      <c r="P72" t="str">
        <v>West</v>
      </c>
      <c r="Q72" t="str">
        <v>Books</v>
      </c>
      <c r="R72">
        <v>1353.79</v>
      </c>
      <c r="S72">
        <v>14</v>
      </c>
      <c r="T72">
        <v>0.1</v>
      </c>
      <c r="U72">
        <v>45656</v>
      </c>
      <c r="V72">
        <v>487.36</v>
      </c>
      <c r="W72">
        <v>536.096</v>
      </c>
    </row>
    <row r="73" ht="30.75" spans="1:23">
      <c r="A73" s="2" t="s">
        <v>95</v>
      </c>
      <c r="B73" s="2" t="s">
        <v>96</v>
      </c>
      <c r="C73" s="2" t="s">
        <v>47</v>
      </c>
      <c r="D73" s="2" t="s">
        <v>66</v>
      </c>
      <c r="E73" s="3">
        <v>981.2</v>
      </c>
      <c r="F73" s="3">
        <v>19</v>
      </c>
      <c r="G73" s="3">
        <v>0</v>
      </c>
      <c r="H73" s="4">
        <v>45504</v>
      </c>
      <c r="I73" s="3">
        <v>441.54</v>
      </c>
      <c r="J73">
        <f t="shared" si="2"/>
        <v>441.54</v>
      </c>
      <c r="K73" s="6">
        <f t="shared" si="3"/>
        <v>-0.449887892376682</v>
      </c>
      <c r="N73" t="str">
        <v>CUST013</v>
      </c>
      <c r="O73" t="str">
        <v>Mary Wilson</v>
      </c>
      <c r="P73" t="str">
        <v>North</v>
      </c>
      <c r="Q73" t="str">
        <v>Clothing</v>
      </c>
      <c r="R73">
        <v>1171.18</v>
      </c>
      <c r="S73">
        <v>19</v>
      </c>
      <c r="T73">
        <v>0.05</v>
      </c>
      <c r="U73">
        <v>45667</v>
      </c>
      <c r="V73">
        <v>556.31</v>
      </c>
      <c r="W73">
        <v>584.1255</v>
      </c>
    </row>
    <row r="74" ht="15.75" spans="1:23">
      <c r="A74" s="2" t="s">
        <v>97</v>
      </c>
      <c r="B74" s="2" t="s">
        <v>82</v>
      </c>
      <c r="C74" s="2" t="s">
        <v>45</v>
      </c>
      <c r="D74" s="2" t="s">
        <v>48</v>
      </c>
      <c r="E74" s="3">
        <v>539.77</v>
      </c>
      <c r="F74" s="3">
        <v>10</v>
      </c>
      <c r="G74" s="3">
        <v>0.15</v>
      </c>
      <c r="H74" s="4">
        <v>45509</v>
      </c>
      <c r="I74" s="3">
        <v>114.7</v>
      </c>
      <c r="J74">
        <f t="shared" si="2"/>
        <v>131.905</v>
      </c>
      <c r="K74" s="6">
        <f t="shared" si="3"/>
        <v>0.490357003909072</v>
      </c>
      <c r="N74" t="str">
        <v>CUST015</v>
      </c>
      <c r="O74" t="str">
        <v>Robert Anderson</v>
      </c>
      <c r="P74" t="str">
        <v>South</v>
      </c>
      <c r="Q74" t="str">
        <v>Furniture</v>
      </c>
      <c r="R74">
        <v>1054.56</v>
      </c>
      <c r="S74">
        <v>11</v>
      </c>
      <c r="T74">
        <v>0.1</v>
      </c>
      <c r="U74">
        <v>45669</v>
      </c>
      <c r="V74">
        <v>332.19</v>
      </c>
      <c r="W74">
        <v>365.409</v>
      </c>
    </row>
    <row r="75" ht="15.75" spans="1:23">
      <c r="A75" s="2" t="s">
        <v>40</v>
      </c>
      <c r="B75" s="2" t="s">
        <v>98</v>
      </c>
      <c r="C75" s="2" t="s">
        <v>47</v>
      </c>
      <c r="D75" s="2" t="s">
        <v>39</v>
      </c>
      <c r="E75" s="3">
        <v>804.45</v>
      </c>
      <c r="F75" s="3">
        <v>5</v>
      </c>
      <c r="G75" s="3">
        <v>0.2</v>
      </c>
      <c r="H75" s="4">
        <v>45509</v>
      </c>
      <c r="I75" s="3">
        <v>257.42</v>
      </c>
      <c r="J75">
        <f t="shared" si="2"/>
        <v>308.904</v>
      </c>
      <c r="K75" s="6">
        <f t="shared" si="3"/>
        <v>0.897694076698365</v>
      </c>
      <c r="N75" t="str">
        <v>CUST015</v>
      </c>
      <c r="O75" t="str">
        <v>James Wilson</v>
      </c>
      <c r="P75" t="str">
        <v>North</v>
      </c>
      <c r="Q75" t="str">
        <v>Electronics</v>
      </c>
      <c r="R75">
        <v>1681.21</v>
      </c>
      <c r="S75">
        <v>5</v>
      </c>
      <c r="T75">
        <v>0.2</v>
      </c>
      <c r="U75">
        <v>45670</v>
      </c>
      <c r="V75">
        <v>336.24</v>
      </c>
      <c r="W75">
        <v>403.488</v>
      </c>
    </row>
    <row r="76" ht="15.75" spans="1:23">
      <c r="A76" s="2" t="s">
        <v>97</v>
      </c>
      <c r="B76" s="2" t="s">
        <v>65</v>
      </c>
      <c r="C76" s="2" t="s">
        <v>38</v>
      </c>
      <c r="D76" s="2" t="s">
        <v>48</v>
      </c>
      <c r="E76" s="3">
        <v>1526.6</v>
      </c>
      <c r="F76" s="3">
        <v>13</v>
      </c>
      <c r="G76" s="3">
        <v>0.2</v>
      </c>
      <c r="H76" s="4">
        <v>45512</v>
      </c>
      <c r="I76" s="3">
        <v>305.32</v>
      </c>
      <c r="J76">
        <f t="shared" si="2"/>
        <v>366.384</v>
      </c>
      <c r="K76" s="6">
        <f t="shared" si="3"/>
        <v>-0.20394340364208</v>
      </c>
      <c r="N76" t="str">
        <v>CUST008</v>
      </c>
      <c r="O76" t="str">
        <v>Lisa Thomas</v>
      </c>
      <c r="P76" t="str">
        <v>Central</v>
      </c>
      <c r="Q76" t="str">
        <v>Clothing</v>
      </c>
      <c r="R76">
        <v>1076.33</v>
      </c>
      <c r="S76">
        <v>2</v>
      </c>
      <c r="T76">
        <v>0.1</v>
      </c>
      <c r="U76">
        <v>45674</v>
      </c>
      <c r="V76">
        <v>484.35</v>
      </c>
      <c r="W76">
        <v>532.785</v>
      </c>
    </row>
    <row r="77" ht="15.75" spans="1:23">
      <c r="A77" s="2" t="s">
        <v>40</v>
      </c>
      <c r="B77" s="2" t="s">
        <v>56</v>
      </c>
      <c r="C77" s="2" t="s">
        <v>38</v>
      </c>
      <c r="D77" s="2" t="s">
        <v>48</v>
      </c>
      <c r="E77" s="3">
        <v>1215.26</v>
      </c>
      <c r="F77" s="3">
        <v>5</v>
      </c>
      <c r="G77" s="3">
        <v>0.15</v>
      </c>
      <c r="H77" s="4">
        <v>45513</v>
      </c>
      <c r="I77" s="3">
        <v>258.24</v>
      </c>
      <c r="J77">
        <f t="shared" si="2"/>
        <v>296.976</v>
      </c>
      <c r="K77" s="6">
        <f t="shared" si="3"/>
        <v>0.0379178118262758</v>
      </c>
      <c r="N77" t="str">
        <v>CUST008</v>
      </c>
      <c r="O77" t="str">
        <v>Mary Davis</v>
      </c>
      <c r="P77" t="str">
        <v>Central</v>
      </c>
      <c r="Q77" t="str">
        <v>Office Supplies</v>
      </c>
      <c r="R77">
        <v>1250.71</v>
      </c>
      <c r="S77">
        <v>7</v>
      </c>
      <c r="T77">
        <v>0</v>
      </c>
      <c r="U77">
        <v>45674</v>
      </c>
      <c r="V77">
        <v>562.82</v>
      </c>
      <c r="W77">
        <v>562.82</v>
      </c>
    </row>
    <row r="78" ht="15.75" spans="1:23">
      <c r="A78" s="2" t="s">
        <v>46</v>
      </c>
      <c r="B78" s="2" t="s">
        <v>80</v>
      </c>
      <c r="C78" s="2" t="s">
        <v>61</v>
      </c>
      <c r="D78" s="2" t="s">
        <v>54</v>
      </c>
      <c r="E78" s="3">
        <v>1261.34</v>
      </c>
      <c r="F78" s="3">
        <v>3</v>
      </c>
      <c r="G78" s="3">
        <v>0</v>
      </c>
      <c r="H78" s="4">
        <v>45519</v>
      </c>
      <c r="I78" s="3">
        <v>441.47</v>
      </c>
      <c r="J78">
        <f t="shared" si="2"/>
        <v>441.47</v>
      </c>
      <c r="K78" s="6">
        <f t="shared" si="3"/>
        <v>-0.589270141278323</v>
      </c>
      <c r="N78" t="str">
        <v>CUST023</v>
      </c>
      <c r="O78" t="str">
        <v>James Taylor</v>
      </c>
      <c r="P78" t="str">
        <v>South</v>
      </c>
      <c r="Q78" t="str">
        <v>Clothing</v>
      </c>
      <c r="R78">
        <v>1118.34</v>
      </c>
      <c r="S78">
        <v>6</v>
      </c>
      <c r="T78">
        <v>0.2</v>
      </c>
      <c r="U78">
        <v>45674</v>
      </c>
      <c r="V78">
        <v>447.34</v>
      </c>
      <c r="W78">
        <v>536.808</v>
      </c>
    </row>
    <row r="79" ht="15.75" spans="1:23">
      <c r="A79" s="2" t="s">
        <v>99</v>
      </c>
      <c r="B79" s="2" t="s">
        <v>72</v>
      </c>
      <c r="C79" s="2" t="s">
        <v>51</v>
      </c>
      <c r="D79" s="2" t="s">
        <v>54</v>
      </c>
      <c r="E79" s="3">
        <v>518.07</v>
      </c>
      <c r="F79" s="3">
        <v>7</v>
      </c>
      <c r="G79" s="3">
        <v>0.05</v>
      </c>
      <c r="H79" s="4">
        <v>45522</v>
      </c>
      <c r="I79" s="3">
        <v>172.26</v>
      </c>
      <c r="J79">
        <f t="shared" si="2"/>
        <v>180.873</v>
      </c>
      <c r="K79" s="6">
        <f t="shared" si="3"/>
        <v>1.14515412975081</v>
      </c>
      <c r="N79" t="str">
        <v>CUST024</v>
      </c>
      <c r="O79" t="str">
        <v>Linda Taylor</v>
      </c>
      <c r="P79" t="str">
        <v>North</v>
      </c>
      <c r="Q79" t="str">
        <v>Clothing</v>
      </c>
      <c r="R79">
        <v>1622.62</v>
      </c>
      <c r="S79">
        <v>12</v>
      </c>
      <c r="T79">
        <v>0.2</v>
      </c>
      <c r="U79">
        <v>45677</v>
      </c>
      <c r="V79">
        <v>649.05</v>
      </c>
      <c r="W79">
        <v>778.86</v>
      </c>
    </row>
    <row r="80" ht="30.75" spans="1:23">
      <c r="A80" s="2" t="s">
        <v>57</v>
      </c>
      <c r="B80" s="2" t="s">
        <v>56</v>
      </c>
      <c r="C80" s="2" t="s">
        <v>38</v>
      </c>
      <c r="D80" s="2" t="s">
        <v>66</v>
      </c>
      <c r="E80" s="3">
        <v>1111.34</v>
      </c>
      <c r="F80" s="3">
        <v>1</v>
      </c>
      <c r="G80" s="3">
        <v>0</v>
      </c>
      <c r="H80" s="4">
        <v>45523</v>
      </c>
      <c r="I80" s="3">
        <v>500.1</v>
      </c>
      <c r="J80">
        <f t="shared" si="2"/>
        <v>500.1</v>
      </c>
      <c r="K80" s="6">
        <f t="shared" si="3"/>
        <v>0.16208361077618</v>
      </c>
      <c r="N80" t="str">
        <v>CUST030</v>
      </c>
      <c r="O80" t="str">
        <v>Mary Davis</v>
      </c>
      <c r="P80" t="str">
        <v>East</v>
      </c>
      <c r="Q80" t="str">
        <v>Clothing</v>
      </c>
      <c r="R80">
        <v>1109.98</v>
      </c>
      <c r="S80">
        <v>5</v>
      </c>
      <c r="T80">
        <v>0.2</v>
      </c>
      <c r="U80">
        <v>45690</v>
      </c>
      <c r="V80">
        <v>443.99</v>
      </c>
      <c r="W80">
        <v>532.788</v>
      </c>
    </row>
    <row r="81" ht="15.75" spans="1:23">
      <c r="A81" s="2" t="s">
        <v>49</v>
      </c>
      <c r="B81" s="2" t="s">
        <v>58</v>
      </c>
      <c r="C81" s="2" t="s">
        <v>45</v>
      </c>
      <c r="D81" s="2" t="s">
        <v>42</v>
      </c>
      <c r="E81" s="3">
        <v>1291.47</v>
      </c>
      <c r="F81" s="3">
        <v>18</v>
      </c>
      <c r="G81" s="3">
        <v>0.1</v>
      </c>
      <c r="H81" s="4">
        <v>45526</v>
      </c>
      <c r="I81" s="3">
        <v>581.16</v>
      </c>
      <c r="J81">
        <f t="shared" si="2"/>
        <v>639.276</v>
      </c>
      <c r="K81" s="6">
        <f t="shared" si="3"/>
        <v>-0.473692768705429</v>
      </c>
      <c r="N81" t="str">
        <v>CUST015</v>
      </c>
      <c r="O81" t="str">
        <v>Lisa Thomas</v>
      </c>
      <c r="P81" t="str">
        <v>East</v>
      </c>
      <c r="Q81" t="str">
        <v>Books</v>
      </c>
      <c r="R81">
        <v>1098.08</v>
      </c>
      <c r="S81">
        <v>9</v>
      </c>
      <c r="T81">
        <v>0.1</v>
      </c>
      <c r="U81">
        <v>45692</v>
      </c>
      <c r="V81">
        <v>395.31</v>
      </c>
      <c r="W81">
        <v>434.841</v>
      </c>
    </row>
    <row r="82" ht="15.75" spans="1:23">
      <c r="A82" s="2" t="s">
        <v>52</v>
      </c>
      <c r="B82" s="2" t="s">
        <v>82</v>
      </c>
      <c r="C82" s="2" t="s">
        <v>51</v>
      </c>
      <c r="D82" s="2" t="s">
        <v>39</v>
      </c>
      <c r="E82" s="3">
        <v>679.71</v>
      </c>
      <c r="F82" s="3">
        <v>19</v>
      </c>
      <c r="G82" s="3">
        <v>0</v>
      </c>
      <c r="H82" s="4">
        <v>45534</v>
      </c>
      <c r="I82" s="3">
        <v>271.88</v>
      </c>
      <c r="J82">
        <f t="shared" si="2"/>
        <v>271.88</v>
      </c>
      <c r="K82" s="6">
        <f t="shared" si="3"/>
        <v>0.682614644480734</v>
      </c>
      <c r="N82" t="str">
        <v>CUST004</v>
      </c>
      <c r="O82" t="str">
        <v>James Davis</v>
      </c>
      <c r="P82" t="str">
        <v>East</v>
      </c>
      <c r="Q82" t="str">
        <v>Office Supplies</v>
      </c>
      <c r="R82">
        <v>1311.26</v>
      </c>
      <c r="S82">
        <v>6</v>
      </c>
      <c r="T82">
        <v>0.1</v>
      </c>
      <c r="U82">
        <v>45698</v>
      </c>
      <c r="V82">
        <v>531.06</v>
      </c>
      <c r="W82">
        <v>584.166</v>
      </c>
    </row>
    <row r="83" ht="15.75" spans="1:23">
      <c r="A83" s="2" t="s">
        <v>95</v>
      </c>
      <c r="B83" s="2" t="s">
        <v>60</v>
      </c>
      <c r="C83" s="2" t="s">
        <v>45</v>
      </c>
      <c r="D83" s="2" t="s">
        <v>54</v>
      </c>
      <c r="E83" s="3">
        <v>1143.69</v>
      </c>
      <c r="F83" s="3">
        <v>17</v>
      </c>
      <c r="G83" s="3">
        <v>0</v>
      </c>
      <c r="H83" s="4">
        <v>45534</v>
      </c>
      <c r="I83" s="3">
        <v>400.29</v>
      </c>
      <c r="J83">
        <f t="shared" si="2"/>
        <v>400.29</v>
      </c>
      <c r="K83" s="6">
        <f t="shared" si="3"/>
        <v>-0.309183432573512</v>
      </c>
      <c r="N83" t="str">
        <v>CUST028</v>
      </c>
      <c r="O83" t="str">
        <v>James Wilson</v>
      </c>
      <c r="P83" t="str">
        <v>West</v>
      </c>
      <c r="Q83" t="str">
        <v>Electronics</v>
      </c>
      <c r="R83">
        <v>1115.22</v>
      </c>
      <c r="S83">
        <v>14</v>
      </c>
      <c r="T83">
        <v>0.2</v>
      </c>
      <c r="U83">
        <v>45705</v>
      </c>
      <c r="V83">
        <v>223.04</v>
      </c>
      <c r="W83">
        <v>267.648</v>
      </c>
    </row>
    <row r="84" ht="15.75" spans="1:23">
      <c r="A84" s="2" t="s">
        <v>79</v>
      </c>
      <c r="B84" s="2" t="s">
        <v>77</v>
      </c>
      <c r="C84" s="2" t="s">
        <v>61</v>
      </c>
      <c r="D84" s="2" t="s">
        <v>48</v>
      </c>
      <c r="E84" s="3">
        <v>790.08</v>
      </c>
      <c r="F84" s="3">
        <v>7</v>
      </c>
      <c r="G84" s="3">
        <v>0.1</v>
      </c>
      <c r="H84" s="4">
        <v>45536</v>
      </c>
      <c r="I84" s="3">
        <v>177.77</v>
      </c>
      <c r="J84">
        <f t="shared" si="2"/>
        <v>195.547</v>
      </c>
      <c r="K84" s="6">
        <f t="shared" si="3"/>
        <v>0.355153908464966</v>
      </c>
      <c r="N84" t="str">
        <v>CUST026</v>
      </c>
      <c r="O84" t="str">
        <v>David Brown</v>
      </c>
      <c r="P84" t="str">
        <v>West</v>
      </c>
      <c r="Q84" t="str">
        <v>Electronics</v>
      </c>
      <c r="R84">
        <v>1029.8</v>
      </c>
      <c r="S84">
        <v>3</v>
      </c>
      <c r="T84">
        <v>0</v>
      </c>
      <c r="U84">
        <v>45708</v>
      </c>
      <c r="V84">
        <v>257.45</v>
      </c>
      <c r="W84">
        <v>257.45</v>
      </c>
    </row>
    <row r="85" ht="15.75" spans="1:23">
      <c r="A85" s="2" t="s">
        <v>46</v>
      </c>
      <c r="B85" s="2" t="s">
        <v>75</v>
      </c>
      <c r="C85" s="2" t="s">
        <v>61</v>
      </c>
      <c r="D85" s="2" t="s">
        <v>39</v>
      </c>
      <c r="E85" s="3">
        <v>1070.68</v>
      </c>
      <c r="F85" s="3">
        <v>7</v>
      </c>
      <c r="G85" s="3">
        <v>0.05</v>
      </c>
      <c r="H85" s="4">
        <v>45536</v>
      </c>
      <c r="I85" s="3">
        <v>406.86</v>
      </c>
      <c r="J85">
        <f t="shared" si="2"/>
        <v>427.203</v>
      </c>
      <c r="K85" s="6">
        <f t="shared" si="3"/>
        <v>0.0917267530914933</v>
      </c>
      <c r="N85" t="str">
        <v>CUST009</v>
      </c>
      <c r="O85" t="str">
        <v>Mary Davis</v>
      </c>
      <c r="P85" t="str">
        <v>North</v>
      </c>
      <c r="Q85" t="str">
        <v>Books</v>
      </c>
      <c r="R85">
        <v>1189.83</v>
      </c>
      <c r="S85">
        <v>2</v>
      </c>
      <c r="T85">
        <v>0.2</v>
      </c>
      <c r="U85">
        <v>45709</v>
      </c>
      <c r="V85">
        <v>380.75</v>
      </c>
      <c r="W85">
        <v>456.9</v>
      </c>
    </row>
    <row r="86" ht="15.75" spans="1:23">
      <c r="A86" s="2" t="s">
        <v>85</v>
      </c>
      <c r="B86" s="2" t="s">
        <v>63</v>
      </c>
      <c r="C86" s="2" t="s">
        <v>38</v>
      </c>
      <c r="D86" s="2" t="s">
        <v>42</v>
      </c>
      <c r="E86" s="3">
        <v>1168.89</v>
      </c>
      <c r="F86" s="3">
        <v>4</v>
      </c>
      <c r="G86" s="3">
        <v>0.1</v>
      </c>
      <c r="H86" s="4">
        <v>45544</v>
      </c>
      <c r="I86" s="3">
        <v>526</v>
      </c>
      <c r="J86">
        <f t="shared" si="2"/>
        <v>578.6</v>
      </c>
      <c r="K86" s="6">
        <f t="shared" si="3"/>
        <v>0.142853476375022</v>
      </c>
      <c r="N86" t="str">
        <v>CUST002</v>
      </c>
      <c r="O86" t="str">
        <v>Mary Jackson</v>
      </c>
      <c r="P86" t="str">
        <v>Central</v>
      </c>
      <c r="Q86" t="str">
        <v>Office Supplies</v>
      </c>
      <c r="R86">
        <v>1618.22</v>
      </c>
      <c r="S86">
        <v>12</v>
      </c>
      <c r="T86">
        <v>0.2</v>
      </c>
      <c r="U86">
        <v>45712</v>
      </c>
      <c r="V86">
        <v>582.56</v>
      </c>
      <c r="W86">
        <v>699.072</v>
      </c>
    </row>
    <row r="87" ht="15.75" spans="1:23">
      <c r="A87" s="2" t="s">
        <v>94</v>
      </c>
      <c r="B87" s="2" t="s">
        <v>37</v>
      </c>
      <c r="C87" s="2" t="s">
        <v>47</v>
      </c>
      <c r="D87" s="2" t="s">
        <v>48</v>
      </c>
      <c r="E87" s="3">
        <v>1335.87</v>
      </c>
      <c r="F87" s="3">
        <v>17</v>
      </c>
      <c r="G87" s="3">
        <v>0</v>
      </c>
      <c r="H87" s="4">
        <v>45544</v>
      </c>
      <c r="I87" s="3">
        <v>333.97</v>
      </c>
      <c r="J87">
        <f t="shared" si="2"/>
        <v>333.97</v>
      </c>
      <c r="K87" s="6">
        <f t="shared" si="3"/>
        <v>-0.34596929341927</v>
      </c>
      <c r="N87" t="str">
        <v>CUST013</v>
      </c>
      <c r="O87" t="str">
        <v>Linda Taylor</v>
      </c>
      <c r="P87" t="str">
        <v>Central</v>
      </c>
      <c r="Q87" t="str">
        <v>Books</v>
      </c>
      <c r="R87">
        <v>1014.43</v>
      </c>
      <c r="S87">
        <v>2</v>
      </c>
      <c r="T87">
        <v>0.15</v>
      </c>
      <c r="U87">
        <v>45713</v>
      </c>
      <c r="V87">
        <v>344.91</v>
      </c>
      <c r="W87">
        <v>396.6465</v>
      </c>
    </row>
    <row r="88" ht="15.75" spans="1:23">
      <c r="A88" s="2" t="s">
        <v>67</v>
      </c>
      <c r="B88" s="2" t="s">
        <v>82</v>
      </c>
      <c r="C88" s="2" t="s">
        <v>45</v>
      </c>
      <c r="D88" s="2" t="s">
        <v>54</v>
      </c>
      <c r="E88" s="3">
        <v>873.7</v>
      </c>
      <c r="F88" s="3">
        <v>9</v>
      </c>
      <c r="G88" s="3">
        <v>0</v>
      </c>
      <c r="H88" s="4">
        <v>45546</v>
      </c>
      <c r="I88" s="3">
        <v>305.8</v>
      </c>
      <c r="J88">
        <f t="shared" si="2"/>
        <v>305.8</v>
      </c>
      <c r="K88" s="6">
        <f t="shared" si="3"/>
        <v>0.652718324367632</v>
      </c>
      <c r="N88" t="str">
        <v>CUST017</v>
      </c>
      <c r="O88" t="str">
        <v>Mary Davis</v>
      </c>
      <c r="P88" t="str">
        <v>Central</v>
      </c>
      <c r="Q88" t="str">
        <v>Clothing</v>
      </c>
      <c r="R88">
        <v>1022.23</v>
      </c>
      <c r="S88">
        <v>8</v>
      </c>
      <c r="T88">
        <v>0.1</v>
      </c>
      <c r="U88">
        <v>45717</v>
      </c>
      <c r="V88">
        <v>460</v>
      </c>
      <c r="W88">
        <v>506</v>
      </c>
    </row>
    <row r="89" ht="30.75" spans="1:23">
      <c r="A89" s="2" t="s">
        <v>99</v>
      </c>
      <c r="B89" s="2" t="s">
        <v>91</v>
      </c>
      <c r="C89" s="2" t="s">
        <v>38</v>
      </c>
      <c r="D89" s="2" t="s">
        <v>66</v>
      </c>
      <c r="E89" s="3">
        <v>1443.98</v>
      </c>
      <c r="F89" s="3">
        <v>19</v>
      </c>
      <c r="G89" s="3">
        <v>0</v>
      </c>
      <c r="H89" s="4">
        <v>45547</v>
      </c>
      <c r="I89" s="3">
        <v>649.79</v>
      </c>
      <c r="J89">
        <f t="shared" si="2"/>
        <v>649.79</v>
      </c>
      <c r="K89" s="6">
        <f t="shared" si="3"/>
        <v>-0.200591420933808</v>
      </c>
      <c r="N89" t="str">
        <v>CUST004</v>
      </c>
      <c r="O89" t="str">
        <v>Linda Wilson</v>
      </c>
      <c r="P89" t="str">
        <v>East</v>
      </c>
      <c r="Q89" t="str">
        <v>Books</v>
      </c>
      <c r="R89">
        <v>1099.69</v>
      </c>
      <c r="S89">
        <v>6</v>
      </c>
      <c r="T89">
        <v>0</v>
      </c>
      <c r="U89">
        <v>45718</v>
      </c>
      <c r="V89">
        <v>439.88</v>
      </c>
      <c r="W89">
        <v>439.88</v>
      </c>
    </row>
    <row r="90" ht="30.75" spans="1:23">
      <c r="A90" s="2" t="s">
        <v>67</v>
      </c>
      <c r="B90" s="2" t="s">
        <v>50</v>
      </c>
      <c r="C90" s="2" t="s">
        <v>45</v>
      </c>
      <c r="D90" s="2" t="s">
        <v>66</v>
      </c>
      <c r="E90" s="3">
        <v>1154.33</v>
      </c>
      <c r="F90" s="3">
        <v>11</v>
      </c>
      <c r="G90" s="3">
        <v>0.15</v>
      </c>
      <c r="H90" s="4">
        <v>45549</v>
      </c>
      <c r="I90" s="3">
        <v>441.53</v>
      </c>
      <c r="J90">
        <f t="shared" si="2"/>
        <v>507.7595</v>
      </c>
      <c r="K90" s="6">
        <f t="shared" si="3"/>
        <v>0.0954319821888022</v>
      </c>
      <c r="N90" t="str">
        <v>CUST014</v>
      </c>
      <c r="O90" t="str">
        <v>Emma Davis</v>
      </c>
      <c r="P90" t="str">
        <v>South</v>
      </c>
      <c r="Q90" t="str">
        <v>Books</v>
      </c>
      <c r="R90">
        <v>1064.19</v>
      </c>
      <c r="S90">
        <v>18</v>
      </c>
      <c r="T90">
        <v>0.05</v>
      </c>
      <c r="U90">
        <v>45725</v>
      </c>
      <c r="V90">
        <v>404.39</v>
      </c>
      <c r="W90">
        <v>424.6095</v>
      </c>
    </row>
    <row r="91" ht="15.75" spans="1:23">
      <c r="A91" s="2" t="s">
        <v>76</v>
      </c>
      <c r="B91" s="2" t="s">
        <v>77</v>
      </c>
      <c r="C91" s="2" t="s">
        <v>47</v>
      </c>
      <c r="D91" s="2" t="s">
        <v>39</v>
      </c>
      <c r="E91" s="3">
        <v>1264.49</v>
      </c>
      <c r="F91" s="3">
        <v>16</v>
      </c>
      <c r="G91" s="3">
        <v>0.05</v>
      </c>
      <c r="H91" s="4">
        <v>45549</v>
      </c>
      <c r="I91" s="3">
        <v>480.51</v>
      </c>
      <c r="J91">
        <f t="shared" si="2"/>
        <v>504.5355</v>
      </c>
      <c r="K91" s="6">
        <f t="shared" si="3"/>
        <v>-0.128858274877619</v>
      </c>
      <c r="N91" t="str">
        <v>CUST007</v>
      </c>
      <c r="O91" t="str">
        <v>David Brown</v>
      </c>
      <c r="P91" t="str">
        <v>West</v>
      </c>
      <c r="Q91" t="str">
        <v>Clothing</v>
      </c>
      <c r="R91">
        <v>1493.49</v>
      </c>
      <c r="S91">
        <v>18</v>
      </c>
      <c r="T91">
        <v>0</v>
      </c>
      <c r="U91">
        <v>45734</v>
      </c>
      <c r="V91">
        <v>746.74</v>
      </c>
      <c r="W91">
        <v>746.74</v>
      </c>
    </row>
    <row r="92" ht="15.75" spans="1:23">
      <c r="A92" s="2" t="s">
        <v>52</v>
      </c>
      <c r="B92" s="2" t="s">
        <v>93</v>
      </c>
      <c r="C92" s="2" t="s">
        <v>38</v>
      </c>
      <c r="D92" s="2" t="s">
        <v>54</v>
      </c>
      <c r="E92" s="3">
        <v>1101.55</v>
      </c>
      <c r="F92" s="3">
        <v>4</v>
      </c>
      <c r="G92" s="3">
        <v>0.1</v>
      </c>
      <c r="H92" s="4">
        <v>45551</v>
      </c>
      <c r="I92" s="3">
        <v>346.99</v>
      </c>
      <c r="J92">
        <f t="shared" si="2"/>
        <v>381.689</v>
      </c>
      <c r="K92" s="6">
        <f t="shared" si="3"/>
        <v>-0.339358177114067</v>
      </c>
      <c r="N92" t="str">
        <v>CUST009</v>
      </c>
      <c r="O92" t="str">
        <v>Michael Anderson</v>
      </c>
      <c r="P92" t="str">
        <v>South</v>
      </c>
      <c r="Q92" t="str">
        <v>Furniture</v>
      </c>
      <c r="R92">
        <v>1184.25</v>
      </c>
      <c r="S92">
        <v>11</v>
      </c>
      <c r="T92">
        <v>0.2</v>
      </c>
      <c r="U92">
        <v>45742</v>
      </c>
      <c r="V92">
        <v>331.59</v>
      </c>
      <c r="W92">
        <v>397.908</v>
      </c>
    </row>
    <row r="93" ht="15.75" spans="1:23">
      <c r="A93" s="2" t="s">
        <v>100</v>
      </c>
      <c r="B93" s="2" t="s">
        <v>41</v>
      </c>
      <c r="C93" s="2" t="s">
        <v>47</v>
      </c>
      <c r="D93" s="2" t="s">
        <v>54</v>
      </c>
      <c r="E93" s="3">
        <v>727.73</v>
      </c>
      <c r="F93" s="3">
        <v>1</v>
      </c>
      <c r="G93" s="3">
        <v>0.1</v>
      </c>
      <c r="H93" s="4">
        <v>45552</v>
      </c>
      <c r="I93" s="3">
        <v>229.23</v>
      </c>
      <c r="J93">
        <f t="shared" si="2"/>
        <v>252.153</v>
      </c>
      <c r="K93" s="6">
        <f t="shared" si="3"/>
        <v>0.202932406249571</v>
      </c>
      <c r="N93" t="str">
        <v>CUST018</v>
      </c>
      <c r="O93" t="str">
        <v>David Anderson</v>
      </c>
      <c r="P93" t="str">
        <v>Central</v>
      </c>
      <c r="Q93" t="str">
        <v>Clothing</v>
      </c>
      <c r="R93">
        <v>1456.94</v>
      </c>
      <c r="S93">
        <v>14</v>
      </c>
      <c r="T93">
        <v>0.05</v>
      </c>
      <c r="U93">
        <v>45745</v>
      </c>
      <c r="V93">
        <v>692.05</v>
      </c>
      <c r="W93">
        <v>726.6525</v>
      </c>
    </row>
    <row r="94" ht="30.75" spans="1:23">
      <c r="A94" s="2" t="s">
        <v>101</v>
      </c>
      <c r="B94" s="2" t="s">
        <v>65</v>
      </c>
      <c r="C94" s="2" t="s">
        <v>45</v>
      </c>
      <c r="D94" s="2" t="s">
        <v>66</v>
      </c>
      <c r="E94" s="3">
        <v>875.41</v>
      </c>
      <c r="F94" s="3">
        <v>13</v>
      </c>
      <c r="G94" s="3">
        <v>0.15</v>
      </c>
      <c r="H94" s="4">
        <v>45552</v>
      </c>
      <c r="I94" s="3">
        <v>334.84</v>
      </c>
      <c r="J94">
        <f t="shared" si="2"/>
        <v>385.066</v>
      </c>
      <c r="K94" s="6">
        <f t="shared" si="3"/>
        <v>0.323882523617505</v>
      </c>
      <c r="N94" t="str">
        <v>CUST008</v>
      </c>
      <c r="O94" t="str">
        <v>Emma Wilson</v>
      </c>
      <c r="P94" t="str">
        <v>East</v>
      </c>
      <c r="Q94" t="str">
        <v>Furniture</v>
      </c>
      <c r="R94">
        <v>1093.38</v>
      </c>
      <c r="S94">
        <v>17</v>
      </c>
      <c r="T94">
        <v>0.1</v>
      </c>
      <c r="U94">
        <v>45745</v>
      </c>
      <c r="V94">
        <v>344.41</v>
      </c>
      <c r="W94">
        <v>378.851</v>
      </c>
    </row>
    <row r="95" ht="15.75" spans="1:23">
      <c r="A95" s="2" t="s">
        <v>94</v>
      </c>
      <c r="B95" s="2" t="s">
        <v>50</v>
      </c>
      <c r="C95" s="2" t="s">
        <v>38</v>
      </c>
      <c r="D95" s="2" t="s">
        <v>48</v>
      </c>
      <c r="E95" s="3">
        <v>1158.94</v>
      </c>
      <c r="F95" s="3">
        <v>19</v>
      </c>
      <c r="G95" s="3">
        <v>0.2</v>
      </c>
      <c r="H95" s="4">
        <v>45553</v>
      </c>
      <c r="I95" s="3">
        <v>231.79</v>
      </c>
      <c r="J95">
        <f t="shared" si="2"/>
        <v>278.148</v>
      </c>
      <c r="K95" s="6">
        <f t="shared" si="3"/>
        <v>-0.166220856990008</v>
      </c>
      <c r="N95" t="str">
        <v>CUST024</v>
      </c>
      <c r="O95" t="str">
        <v>David Thomas</v>
      </c>
      <c r="P95" t="str">
        <v>Central</v>
      </c>
      <c r="Q95" t="str">
        <v>Clothing</v>
      </c>
      <c r="R95">
        <v>1465.35</v>
      </c>
      <c r="S95">
        <v>8</v>
      </c>
      <c r="T95">
        <v>0.2</v>
      </c>
      <c r="U95">
        <v>45746</v>
      </c>
      <c r="V95">
        <v>586.14</v>
      </c>
      <c r="W95">
        <v>703.368</v>
      </c>
    </row>
    <row r="96" ht="15.75" spans="1:23">
      <c r="A96" s="2" t="s">
        <v>102</v>
      </c>
      <c r="B96" s="2" t="s">
        <v>74</v>
      </c>
      <c r="C96" s="2" t="s">
        <v>47</v>
      </c>
      <c r="D96" s="2" t="s">
        <v>39</v>
      </c>
      <c r="E96" s="3">
        <v>966.3</v>
      </c>
      <c r="F96" s="3">
        <v>2</v>
      </c>
      <c r="G96" s="3">
        <v>0.15</v>
      </c>
      <c r="H96" s="4">
        <v>45557</v>
      </c>
      <c r="I96" s="3">
        <v>328.54</v>
      </c>
      <c r="J96">
        <f t="shared" si="2"/>
        <v>377.821</v>
      </c>
      <c r="K96" s="6">
        <f t="shared" si="3"/>
        <v>-0.0505226120252509</v>
      </c>
      <c r="N96" t="str">
        <v>Row Labels</v>
      </c>
      <c r="O96" t="str">
        <v>Books</v>
      </c>
      <c r="P96" t="str">
        <v>Clothing</v>
      </c>
      <c r="Q96" t="str">
        <v>Electronics</v>
      </c>
      <c r="R96" t="str">
        <v>Furniture</v>
      </c>
      <c r="S96" t="str">
        <v>Office Supplies</v>
      </c>
      <c r="T96" t="str">
        <v>(blank)</v>
      </c>
      <c r="U96" t="str">
        <v>Grand Total</v>
      </c>
      <c r="V96">
        <v>0</v>
      </c>
      <c r="W96">
        <v>0</v>
      </c>
    </row>
    <row r="97" ht="15.75" spans="1:23">
      <c r="A97" s="2" t="s">
        <v>95</v>
      </c>
      <c r="B97" s="2" t="s">
        <v>44</v>
      </c>
      <c r="C97" s="2" t="s">
        <v>47</v>
      </c>
      <c r="D97" s="2" t="s">
        <v>39</v>
      </c>
      <c r="E97" s="3">
        <v>917.48</v>
      </c>
      <c r="F97" s="3">
        <v>6</v>
      </c>
      <c r="G97" s="3">
        <v>0</v>
      </c>
      <c r="H97" s="4">
        <v>45558</v>
      </c>
      <c r="I97" s="3">
        <v>366.99</v>
      </c>
      <c r="J97">
        <f t="shared" si="2"/>
        <v>366.99</v>
      </c>
      <c r="K97" s="6">
        <f t="shared" si="3"/>
        <v>0.278469285434015</v>
      </c>
      <c r="N97" t="str">
        <v>Central</v>
      </c>
      <c r="O97">
        <v>11297.15</v>
      </c>
      <c r="P97">
        <v>12200.26</v>
      </c>
      <c r="Q97">
        <v>6621.24</v>
      </c>
      <c r="R97">
        <v>4876.96</v>
      </c>
      <c r="S97">
        <v>8472.72</v>
      </c>
      <c r="T97">
        <v>0</v>
      </c>
      <c r="U97">
        <v>43468.33</v>
      </c>
      <c r="V97">
        <v>0</v>
      </c>
      <c r="W97">
        <v>0</v>
      </c>
    </row>
    <row r="98" ht="15.75" spans="1:23">
      <c r="A98" s="2" t="s">
        <v>68</v>
      </c>
      <c r="B98" s="2" t="s">
        <v>88</v>
      </c>
      <c r="C98" s="2" t="s">
        <v>38</v>
      </c>
      <c r="D98" s="2" t="s">
        <v>54</v>
      </c>
      <c r="E98" s="3">
        <v>1172.97</v>
      </c>
      <c r="F98" s="3">
        <v>7</v>
      </c>
      <c r="G98" s="3">
        <v>0.15</v>
      </c>
      <c r="H98" s="4">
        <v>45559</v>
      </c>
      <c r="I98" s="3">
        <v>348.96</v>
      </c>
      <c r="J98">
        <f t="shared" si="2"/>
        <v>401.304</v>
      </c>
      <c r="K98" s="6">
        <f t="shared" si="3"/>
        <v>0.0280058313511854</v>
      </c>
      <c r="N98" t="str">
        <v>East</v>
      </c>
      <c r="O98">
        <v>11389.09</v>
      </c>
      <c r="P98">
        <v>2401.45</v>
      </c>
      <c r="Q98">
        <v>2869.54</v>
      </c>
      <c r="R98">
        <v>7592.34</v>
      </c>
      <c r="S98">
        <v>8189.22</v>
      </c>
      <c r="T98">
        <v>0</v>
      </c>
      <c r="U98">
        <v>32441.64</v>
      </c>
      <c r="V98">
        <v>0</v>
      </c>
      <c r="W98">
        <v>0</v>
      </c>
    </row>
    <row r="99" ht="15.75" spans="1:23">
      <c r="A99" s="2" t="s">
        <v>84</v>
      </c>
      <c r="B99" s="2" t="s">
        <v>50</v>
      </c>
      <c r="C99" s="2" t="s">
        <v>51</v>
      </c>
      <c r="D99" s="2" t="s">
        <v>42</v>
      </c>
      <c r="E99" s="3">
        <v>1205.82</v>
      </c>
      <c r="F99" s="3">
        <v>11</v>
      </c>
      <c r="G99" s="3">
        <v>0.1</v>
      </c>
      <c r="H99" s="4">
        <v>45559</v>
      </c>
      <c r="I99" s="3">
        <v>542.62</v>
      </c>
      <c r="J99">
        <f t="shared" si="2"/>
        <v>596.882</v>
      </c>
      <c r="K99" s="6">
        <f t="shared" si="3"/>
        <v>-0.314217710769435</v>
      </c>
      <c r="N99" t="str">
        <v>North</v>
      </c>
      <c r="O99">
        <v>8037.01</v>
      </c>
      <c r="P99">
        <v>8422.82</v>
      </c>
      <c r="Q99">
        <v>8191.71</v>
      </c>
      <c r="R99">
        <v>6978.08</v>
      </c>
      <c r="S99">
        <v>3345.8</v>
      </c>
      <c r="T99">
        <v>0</v>
      </c>
      <c r="U99">
        <v>34975.42</v>
      </c>
      <c r="V99">
        <v>0</v>
      </c>
      <c r="W99">
        <v>0</v>
      </c>
    </row>
    <row r="100" ht="30.75" spans="1:23">
      <c r="A100" s="2" t="s">
        <v>43</v>
      </c>
      <c r="B100" s="2" t="s">
        <v>91</v>
      </c>
      <c r="C100" s="2" t="s">
        <v>38</v>
      </c>
      <c r="D100" s="2" t="s">
        <v>66</v>
      </c>
      <c r="E100" s="3">
        <v>826.93</v>
      </c>
      <c r="F100" s="3">
        <v>10</v>
      </c>
      <c r="G100" s="3">
        <v>0.2</v>
      </c>
      <c r="H100" s="4">
        <v>45564</v>
      </c>
      <c r="I100" s="3">
        <v>297.69</v>
      </c>
      <c r="J100">
        <f t="shared" si="2"/>
        <v>357.228</v>
      </c>
      <c r="K100" s="6">
        <f t="shared" si="3"/>
        <v>0.0910113310679261</v>
      </c>
      <c r="N100" t="str">
        <v>South</v>
      </c>
      <c r="O100">
        <v>9588.04</v>
      </c>
      <c r="P100">
        <v>8393.63</v>
      </c>
      <c r="Q100">
        <v>11989.07</v>
      </c>
      <c r="R100">
        <v>7982.73</v>
      </c>
      <c r="S100">
        <v>2295.32</v>
      </c>
      <c r="T100">
        <v>0</v>
      </c>
      <c r="U100">
        <v>40248.79</v>
      </c>
      <c r="V100">
        <v>0</v>
      </c>
      <c r="W100">
        <v>0</v>
      </c>
    </row>
    <row r="101" ht="15.75" spans="1:23">
      <c r="A101" s="2" t="s">
        <v>94</v>
      </c>
      <c r="B101" s="2" t="s">
        <v>50</v>
      </c>
      <c r="C101" s="2" t="s">
        <v>61</v>
      </c>
      <c r="D101" s="2" t="s">
        <v>42</v>
      </c>
      <c r="E101" s="3">
        <v>902.19</v>
      </c>
      <c r="F101" s="3">
        <v>12</v>
      </c>
      <c r="G101" s="3">
        <v>0</v>
      </c>
      <c r="H101" s="4">
        <v>45564</v>
      </c>
      <c r="I101" s="3">
        <v>451.1</v>
      </c>
      <c r="J101">
        <f t="shared" si="2"/>
        <v>451.1</v>
      </c>
      <c r="K101" s="6">
        <f t="shared" si="3"/>
        <v>-0.350502665735599</v>
      </c>
      <c r="N101" t="str">
        <v>West</v>
      </c>
      <c r="O101">
        <v>6691.17</v>
      </c>
      <c r="P101">
        <v>10509.24</v>
      </c>
      <c r="Q101">
        <v>11372.44</v>
      </c>
      <c r="R101">
        <v>9182.78</v>
      </c>
      <c r="S101">
        <v>6327.76</v>
      </c>
      <c r="T101">
        <v>0</v>
      </c>
      <c r="U101">
        <v>44083.39</v>
      </c>
      <c r="V101">
        <v>0</v>
      </c>
      <c r="W101">
        <v>0</v>
      </c>
    </row>
    <row r="102" ht="15.75" spans="1:23">
      <c r="A102" s="2" t="s">
        <v>101</v>
      </c>
      <c r="B102" s="2" t="s">
        <v>65</v>
      </c>
      <c r="C102" s="2" t="s">
        <v>51</v>
      </c>
      <c r="D102" s="2" t="s">
        <v>39</v>
      </c>
      <c r="E102" s="3">
        <v>585.97</v>
      </c>
      <c r="F102" s="3">
        <v>17</v>
      </c>
      <c r="G102" s="3">
        <v>0.1</v>
      </c>
      <c r="H102" s="4">
        <v>45565</v>
      </c>
      <c r="I102" s="3">
        <v>210.95</v>
      </c>
      <c r="J102">
        <f t="shared" si="2"/>
        <v>232.045</v>
      </c>
      <c r="K102" s="6">
        <f t="shared" si="3"/>
        <v>0.689830537399526</v>
      </c>
      <c r="N102" t="str">
        <v>Grand Total</v>
      </c>
      <c r="O102">
        <v>47002.46</v>
      </c>
      <c r="P102">
        <v>41927.4</v>
      </c>
      <c r="Q102">
        <v>41044</v>
      </c>
      <c r="R102">
        <v>36612.89</v>
      </c>
      <c r="S102">
        <v>28630.82</v>
      </c>
      <c r="T102">
        <v>0</v>
      </c>
      <c r="U102">
        <v>195217.57</v>
      </c>
      <c r="V102">
        <v>0</v>
      </c>
      <c r="W102">
        <v>0</v>
      </c>
    </row>
    <row r="103" ht="30.75" spans="1:11">
      <c r="A103" s="2" t="s">
        <v>87</v>
      </c>
      <c r="B103" s="2" t="s">
        <v>53</v>
      </c>
      <c r="C103" s="2" t="s">
        <v>51</v>
      </c>
      <c r="D103" s="2" t="s">
        <v>42</v>
      </c>
      <c r="E103" s="3">
        <v>990.19</v>
      </c>
      <c r="F103" s="3">
        <v>8</v>
      </c>
      <c r="G103" s="3">
        <v>0.1</v>
      </c>
      <c r="H103" s="4">
        <v>45565</v>
      </c>
      <c r="I103" s="3">
        <v>445.59</v>
      </c>
      <c r="J103">
        <f t="shared" si="2"/>
        <v>490.149</v>
      </c>
      <c r="K103" s="6">
        <f t="shared" si="3"/>
        <v>0.0241367818297498</v>
      </c>
    </row>
    <row r="104" ht="15.75" spans="1:11">
      <c r="A104" s="2" t="s">
        <v>71</v>
      </c>
      <c r="B104" s="2" t="s">
        <v>83</v>
      </c>
      <c r="C104" s="2" t="s">
        <v>61</v>
      </c>
      <c r="D104" s="2" t="s">
        <v>48</v>
      </c>
      <c r="E104" s="3">
        <v>1014.09</v>
      </c>
      <c r="F104" s="3">
        <v>13</v>
      </c>
      <c r="G104" s="3">
        <v>0.2</v>
      </c>
      <c r="H104" s="4">
        <v>45567</v>
      </c>
      <c r="I104" s="3">
        <v>202.82</v>
      </c>
      <c r="J104">
        <f t="shared" si="2"/>
        <v>243.384</v>
      </c>
      <c r="K104" s="6">
        <f t="shared" si="3"/>
        <v>-0.0875661923497915</v>
      </c>
    </row>
    <row r="105" ht="15.75" spans="1:11">
      <c r="A105" s="2" t="s">
        <v>40</v>
      </c>
      <c r="B105" s="2" t="s">
        <v>75</v>
      </c>
      <c r="C105" s="2" t="s">
        <v>51</v>
      </c>
      <c r="D105" s="2" t="s">
        <v>48</v>
      </c>
      <c r="E105" s="3">
        <v>925.29</v>
      </c>
      <c r="F105" s="3">
        <v>17</v>
      </c>
      <c r="G105" s="3">
        <v>0</v>
      </c>
      <c r="H105" s="4">
        <v>45570</v>
      </c>
      <c r="I105" s="3">
        <v>231.32</v>
      </c>
      <c r="J105">
        <f t="shared" si="2"/>
        <v>231.32</v>
      </c>
      <c r="K105" s="6">
        <f t="shared" si="3"/>
        <v>0.390418139177987</v>
      </c>
    </row>
    <row r="106" ht="15.75" spans="1:11">
      <c r="A106" s="2" t="s">
        <v>81</v>
      </c>
      <c r="B106" s="2" t="s">
        <v>74</v>
      </c>
      <c r="C106" s="2" t="s">
        <v>45</v>
      </c>
      <c r="D106" s="2" t="s">
        <v>54</v>
      </c>
      <c r="E106" s="3">
        <v>1286.54</v>
      </c>
      <c r="F106" s="3">
        <v>8</v>
      </c>
      <c r="G106" s="3">
        <v>0</v>
      </c>
      <c r="H106" s="4">
        <v>45575</v>
      </c>
      <c r="I106" s="3">
        <v>450.29</v>
      </c>
      <c r="J106">
        <f t="shared" si="2"/>
        <v>450.29</v>
      </c>
      <c r="K106" s="6">
        <f t="shared" si="3"/>
        <v>-0.252553360175354</v>
      </c>
    </row>
    <row r="107" ht="15.75" spans="1:11">
      <c r="A107" s="2" t="s">
        <v>64</v>
      </c>
      <c r="B107" s="2" t="s">
        <v>91</v>
      </c>
      <c r="C107" s="2" t="s">
        <v>47</v>
      </c>
      <c r="D107" s="2" t="s">
        <v>39</v>
      </c>
      <c r="E107" s="3">
        <v>961.62</v>
      </c>
      <c r="F107" s="3">
        <v>8</v>
      </c>
      <c r="G107" s="3">
        <v>0.2</v>
      </c>
      <c r="H107" s="4">
        <v>45577</v>
      </c>
      <c r="I107" s="3">
        <v>307.72</v>
      </c>
      <c r="J107">
        <f t="shared" si="2"/>
        <v>369.264</v>
      </c>
      <c r="K107" s="6">
        <f t="shared" si="3"/>
        <v>0.124290260185936</v>
      </c>
    </row>
    <row r="108" ht="15.75" spans="1:11">
      <c r="A108" s="2" t="s">
        <v>71</v>
      </c>
      <c r="B108" s="2" t="s">
        <v>50</v>
      </c>
      <c r="C108" s="2" t="s">
        <v>45</v>
      </c>
      <c r="D108" s="2" t="s">
        <v>39</v>
      </c>
      <c r="E108" s="3">
        <v>1081.14</v>
      </c>
      <c r="F108" s="3">
        <v>19</v>
      </c>
      <c r="G108" s="3">
        <v>0.15</v>
      </c>
      <c r="H108" s="4">
        <v>45577</v>
      </c>
      <c r="I108" s="3">
        <v>367.59</v>
      </c>
      <c r="J108">
        <f t="shared" si="2"/>
        <v>422.7285</v>
      </c>
      <c r="K108" s="6">
        <f t="shared" si="3"/>
        <v>0.779288528775182</v>
      </c>
    </row>
    <row r="109" ht="15.75" spans="1:11">
      <c r="A109" s="2" t="s">
        <v>85</v>
      </c>
      <c r="B109" s="2" t="s">
        <v>50</v>
      </c>
      <c r="C109" s="2" t="s">
        <v>38</v>
      </c>
      <c r="D109" s="2" t="s">
        <v>42</v>
      </c>
      <c r="E109" s="3">
        <v>1923.66</v>
      </c>
      <c r="F109" s="3">
        <v>9</v>
      </c>
      <c r="G109" s="3">
        <v>0.2</v>
      </c>
      <c r="H109" s="4">
        <v>45580</v>
      </c>
      <c r="I109" s="3">
        <v>769.46</v>
      </c>
      <c r="J109">
        <f t="shared" si="2"/>
        <v>923.352</v>
      </c>
      <c r="K109" s="6">
        <f t="shared" si="3"/>
        <v>-0.621185656508947</v>
      </c>
    </row>
    <row r="110" ht="15.75" spans="1:11">
      <c r="A110" s="2" t="s">
        <v>81</v>
      </c>
      <c r="B110" s="2" t="s">
        <v>93</v>
      </c>
      <c r="C110" s="2" t="s">
        <v>61</v>
      </c>
      <c r="D110" s="2" t="s">
        <v>42</v>
      </c>
      <c r="E110" s="3">
        <v>728.71</v>
      </c>
      <c r="F110" s="3">
        <v>14</v>
      </c>
      <c r="G110" s="3">
        <v>0.1</v>
      </c>
      <c r="H110" s="4">
        <v>45581</v>
      </c>
      <c r="I110" s="3">
        <v>327.92</v>
      </c>
      <c r="J110">
        <f t="shared" si="2"/>
        <v>360.712</v>
      </c>
      <c r="K110" s="6">
        <f t="shared" si="3"/>
        <v>0.786568044901264</v>
      </c>
    </row>
    <row r="111" ht="15.75" spans="1:11">
      <c r="A111" s="2" t="s">
        <v>36</v>
      </c>
      <c r="B111" s="2" t="s">
        <v>60</v>
      </c>
      <c r="C111" s="2" t="s">
        <v>61</v>
      </c>
      <c r="D111" s="2" t="s">
        <v>42</v>
      </c>
      <c r="E111" s="3">
        <v>1301.89</v>
      </c>
      <c r="F111" s="3">
        <v>7</v>
      </c>
      <c r="G111" s="3">
        <v>0.15</v>
      </c>
      <c r="H111" s="4">
        <v>45581</v>
      </c>
      <c r="I111" s="3">
        <v>553.3</v>
      </c>
      <c r="J111">
        <f t="shared" si="2"/>
        <v>636.295</v>
      </c>
      <c r="K111" s="6">
        <f t="shared" si="3"/>
        <v>-0.247109970888478</v>
      </c>
    </row>
    <row r="112" ht="15.75" spans="1:11">
      <c r="A112" s="2" t="s">
        <v>97</v>
      </c>
      <c r="B112" s="2" t="s">
        <v>93</v>
      </c>
      <c r="C112" s="2" t="s">
        <v>45</v>
      </c>
      <c r="D112" s="2" t="s">
        <v>39</v>
      </c>
      <c r="E112" s="3">
        <v>980.18</v>
      </c>
      <c r="F112" s="3">
        <v>16</v>
      </c>
      <c r="G112" s="3">
        <v>0.1</v>
      </c>
      <c r="H112" s="4">
        <v>45582</v>
      </c>
      <c r="I112" s="3">
        <v>352.86</v>
      </c>
      <c r="J112">
        <f t="shared" si="2"/>
        <v>388.146</v>
      </c>
      <c r="K112" s="6">
        <f t="shared" si="3"/>
        <v>-0.288324593442021</v>
      </c>
    </row>
    <row r="113" ht="15.75" spans="1:11">
      <c r="A113" s="2" t="s">
        <v>101</v>
      </c>
      <c r="B113" s="2" t="s">
        <v>50</v>
      </c>
      <c r="C113" s="2" t="s">
        <v>38</v>
      </c>
      <c r="D113" s="2" t="s">
        <v>42</v>
      </c>
      <c r="E113" s="3">
        <v>697.57</v>
      </c>
      <c r="F113" s="3">
        <v>17</v>
      </c>
      <c r="G113" s="3">
        <v>0.1</v>
      </c>
      <c r="H113" s="4">
        <v>45584</v>
      </c>
      <c r="I113" s="3">
        <v>313.91</v>
      </c>
      <c r="J113">
        <f t="shared" si="2"/>
        <v>345.301</v>
      </c>
      <c r="K113" s="6">
        <f t="shared" si="3"/>
        <v>0.711097094198431</v>
      </c>
    </row>
    <row r="114" ht="15.75" spans="1:11">
      <c r="A114" s="2" t="s">
        <v>73</v>
      </c>
      <c r="B114" s="2" t="s">
        <v>98</v>
      </c>
      <c r="C114" s="2" t="s">
        <v>38</v>
      </c>
      <c r="D114" s="2" t="s">
        <v>54</v>
      </c>
      <c r="E114" s="3">
        <v>1193.61</v>
      </c>
      <c r="F114" s="3">
        <v>1</v>
      </c>
      <c r="G114" s="3">
        <v>0.15</v>
      </c>
      <c r="H114" s="4">
        <v>45584</v>
      </c>
      <c r="I114" s="3">
        <v>355.1</v>
      </c>
      <c r="J114">
        <f t="shared" si="2"/>
        <v>408.365</v>
      </c>
      <c r="K114" s="6">
        <f t="shared" si="3"/>
        <v>-0.354043615586331</v>
      </c>
    </row>
    <row r="115" ht="15.75" spans="1:11">
      <c r="A115" s="2" t="s">
        <v>59</v>
      </c>
      <c r="B115" s="2" t="s">
        <v>65</v>
      </c>
      <c r="C115" s="2" t="s">
        <v>47</v>
      </c>
      <c r="D115" s="2" t="s">
        <v>48</v>
      </c>
      <c r="E115" s="3">
        <v>771.02</v>
      </c>
      <c r="F115" s="3">
        <v>1</v>
      </c>
      <c r="G115" s="3">
        <v>0</v>
      </c>
      <c r="H115" s="4">
        <v>45585</v>
      </c>
      <c r="I115" s="3">
        <v>192.76</v>
      </c>
      <c r="J115">
        <f t="shared" si="2"/>
        <v>192.76</v>
      </c>
      <c r="K115" s="6">
        <f t="shared" si="3"/>
        <v>-0.142577365048896</v>
      </c>
    </row>
    <row r="116" ht="15.75" spans="1:11">
      <c r="A116" s="2" t="s">
        <v>94</v>
      </c>
      <c r="B116" s="2" t="s">
        <v>96</v>
      </c>
      <c r="C116" s="2" t="s">
        <v>51</v>
      </c>
      <c r="D116" s="2" t="s">
        <v>42</v>
      </c>
      <c r="E116" s="3">
        <v>661.09</v>
      </c>
      <c r="F116" s="3">
        <v>1</v>
      </c>
      <c r="G116" s="3">
        <v>0.2</v>
      </c>
      <c r="H116" s="4">
        <v>45593</v>
      </c>
      <c r="I116" s="3">
        <v>264.44</v>
      </c>
      <c r="J116">
        <f t="shared" si="2"/>
        <v>317.328</v>
      </c>
      <c r="K116" s="6">
        <f t="shared" si="3"/>
        <v>0.0419610037967599</v>
      </c>
    </row>
    <row r="117" ht="15.75" spans="1:11">
      <c r="A117" s="2" t="s">
        <v>40</v>
      </c>
      <c r="B117" s="2" t="s">
        <v>82</v>
      </c>
      <c r="C117" s="2" t="s">
        <v>38</v>
      </c>
      <c r="D117" s="2" t="s">
        <v>48</v>
      </c>
      <c r="E117" s="3">
        <v>688.83</v>
      </c>
      <c r="F117" s="3">
        <v>15</v>
      </c>
      <c r="G117" s="3">
        <v>0</v>
      </c>
      <c r="H117" s="4">
        <v>45595</v>
      </c>
      <c r="I117" s="3">
        <v>172.21</v>
      </c>
      <c r="J117">
        <f t="shared" si="2"/>
        <v>172.21</v>
      </c>
      <c r="K117" s="6">
        <f t="shared" si="3"/>
        <v>0.813364690852605</v>
      </c>
    </row>
    <row r="118" ht="15.75" spans="1:11">
      <c r="A118" s="2" t="s">
        <v>100</v>
      </c>
      <c r="B118" s="2" t="s">
        <v>56</v>
      </c>
      <c r="C118" s="2" t="s">
        <v>61</v>
      </c>
      <c r="D118" s="2" t="s">
        <v>39</v>
      </c>
      <c r="E118" s="3">
        <v>1249.1</v>
      </c>
      <c r="F118" s="3">
        <v>4</v>
      </c>
      <c r="G118" s="3">
        <v>0.05</v>
      </c>
      <c r="H118" s="4">
        <v>45597</v>
      </c>
      <c r="I118" s="3">
        <v>474.66</v>
      </c>
      <c r="J118">
        <f t="shared" si="2"/>
        <v>498.393</v>
      </c>
      <c r="K118" s="6">
        <f t="shared" si="3"/>
        <v>-0.188039388359619</v>
      </c>
    </row>
    <row r="119" ht="30.75" spans="1:11">
      <c r="A119" s="2" t="s">
        <v>71</v>
      </c>
      <c r="B119" s="2" t="s">
        <v>50</v>
      </c>
      <c r="C119" s="2" t="s">
        <v>45</v>
      </c>
      <c r="D119" s="2" t="s">
        <v>66</v>
      </c>
      <c r="E119" s="3">
        <v>1014.22</v>
      </c>
      <c r="F119" s="3">
        <v>14</v>
      </c>
      <c r="G119" s="3">
        <v>0.05</v>
      </c>
      <c r="H119" s="4">
        <v>45599</v>
      </c>
      <c r="I119" s="3">
        <v>433.58</v>
      </c>
      <c r="J119">
        <f t="shared" si="2"/>
        <v>455.259</v>
      </c>
      <c r="K119" s="6">
        <f t="shared" si="3"/>
        <v>-0.00358896491885388</v>
      </c>
    </row>
    <row r="120" ht="15.75" spans="1:11">
      <c r="A120" s="2" t="s">
        <v>81</v>
      </c>
      <c r="B120" s="2" t="s">
        <v>75</v>
      </c>
      <c r="C120" s="2" t="s">
        <v>45</v>
      </c>
      <c r="D120" s="2" t="s">
        <v>39</v>
      </c>
      <c r="E120" s="3">
        <v>1010.58</v>
      </c>
      <c r="F120" s="3">
        <v>2</v>
      </c>
      <c r="G120" s="3">
        <v>0.15</v>
      </c>
      <c r="H120" s="4">
        <v>45605</v>
      </c>
      <c r="I120" s="3">
        <v>343.6</v>
      </c>
      <c r="J120">
        <f t="shared" si="2"/>
        <v>395.14</v>
      </c>
      <c r="K120" s="6">
        <f t="shared" si="3"/>
        <v>-0.0527320944408162</v>
      </c>
    </row>
    <row r="121" ht="15.75" spans="1:11">
      <c r="A121" s="2" t="s">
        <v>57</v>
      </c>
      <c r="B121" s="2" t="s">
        <v>86</v>
      </c>
      <c r="C121" s="2" t="s">
        <v>51</v>
      </c>
      <c r="D121" s="2" t="s">
        <v>54</v>
      </c>
      <c r="E121" s="3">
        <v>957.29</v>
      </c>
      <c r="F121" s="3">
        <v>4</v>
      </c>
      <c r="G121" s="3">
        <v>0.05</v>
      </c>
      <c r="H121" s="4">
        <v>45605</v>
      </c>
      <c r="I121" s="3">
        <v>318.3</v>
      </c>
      <c r="J121">
        <f t="shared" si="2"/>
        <v>334.215</v>
      </c>
      <c r="K121" s="6">
        <f t="shared" si="3"/>
        <v>0.126011971293965</v>
      </c>
    </row>
    <row r="122" ht="15.75" spans="1:11">
      <c r="A122" s="2" t="s">
        <v>55</v>
      </c>
      <c r="B122" s="2" t="s">
        <v>72</v>
      </c>
      <c r="C122" s="2" t="s">
        <v>51</v>
      </c>
      <c r="D122" s="2" t="s">
        <v>54</v>
      </c>
      <c r="E122" s="3">
        <v>1077.92</v>
      </c>
      <c r="F122" s="3">
        <v>3</v>
      </c>
      <c r="G122" s="3">
        <v>0.05</v>
      </c>
      <c r="H122" s="4">
        <v>45608</v>
      </c>
      <c r="I122" s="3">
        <v>358.41</v>
      </c>
      <c r="J122">
        <f t="shared" si="2"/>
        <v>376.3305</v>
      </c>
      <c r="K122" s="6">
        <f t="shared" si="3"/>
        <v>0.0789390678343476</v>
      </c>
    </row>
    <row r="123" ht="15.75" spans="1:11">
      <c r="A123" s="2" t="s">
        <v>79</v>
      </c>
      <c r="B123" s="2" t="s">
        <v>77</v>
      </c>
      <c r="C123" s="2" t="s">
        <v>47</v>
      </c>
      <c r="D123" s="2" t="s">
        <v>42</v>
      </c>
      <c r="E123" s="3">
        <v>1163.01</v>
      </c>
      <c r="F123" s="3">
        <v>5</v>
      </c>
      <c r="G123" s="3">
        <v>0</v>
      </c>
      <c r="H123" s="4">
        <v>45611</v>
      </c>
      <c r="I123" s="3">
        <v>581.5</v>
      </c>
      <c r="J123">
        <f t="shared" si="2"/>
        <v>581.5</v>
      </c>
      <c r="K123" s="6">
        <f t="shared" si="3"/>
        <v>-0.127642926544054</v>
      </c>
    </row>
    <row r="124" ht="30.75" spans="1:11">
      <c r="A124" s="2" t="s">
        <v>81</v>
      </c>
      <c r="B124" s="2" t="s">
        <v>72</v>
      </c>
      <c r="C124" s="2" t="s">
        <v>45</v>
      </c>
      <c r="D124" s="2" t="s">
        <v>66</v>
      </c>
      <c r="E124" s="3">
        <v>1014.56</v>
      </c>
      <c r="F124" s="3">
        <v>10</v>
      </c>
      <c r="G124" s="3">
        <v>0.1</v>
      </c>
      <c r="H124" s="4">
        <v>45612</v>
      </c>
      <c r="I124" s="3">
        <v>410.9</v>
      </c>
      <c r="J124">
        <f t="shared" si="2"/>
        <v>451.99</v>
      </c>
      <c r="K124" s="6">
        <f t="shared" si="3"/>
        <v>-0.292264627030437</v>
      </c>
    </row>
    <row r="125" ht="15.75" spans="1:11">
      <c r="A125" s="2" t="s">
        <v>36</v>
      </c>
      <c r="B125" s="2" t="s">
        <v>44</v>
      </c>
      <c r="C125" s="2" t="s">
        <v>47</v>
      </c>
      <c r="D125" s="2" t="s">
        <v>48</v>
      </c>
      <c r="E125" s="3">
        <v>718.04</v>
      </c>
      <c r="F125" s="3">
        <v>14</v>
      </c>
      <c r="G125" s="3">
        <v>0</v>
      </c>
      <c r="H125" s="4">
        <v>45613</v>
      </c>
      <c r="I125" s="3">
        <v>179.51</v>
      </c>
      <c r="J125">
        <f t="shared" si="2"/>
        <v>179.51</v>
      </c>
      <c r="K125" s="6">
        <f t="shared" si="3"/>
        <v>0.779636231964793</v>
      </c>
    </row>
    <row r="126" ht="15.75" spans="1:11">
      <c r="A126" s="2" t="s">
        <v>99</v>
      </c>
      <c r="B126" s="2" t="s">
        <v>44</v>
      </c>
      <c r="C126" s="2" t="s">
        <v>61</v>
      </c>
      <c r="D126" s="2" t="s">
        <v>42</v>
      </c>
      <c r="E126" s="3">
        <v>1277.85</v>
      </c>
      <c r="F126" s="3">
        <v>18</v>
      </c>
      <c r="G126" s="3">
        <v>0.2</v>
      </c>
      <c r="H126" s="4">
        <v>45613</v>
      </c>
      <c r="I126" s="3">
        <v>511.14</v>
      </c>
      <c r="J126">
        <f t="shared" si="2"/>
        <v>613.368</v>
      </c>
      <c r="K126" s="6">
        <f t="shared" si="3"/>
        <v>-0.446938216535587</v>
      </c>
    </row>
    <row r="127" ht="15.75" spans="1:11">
      <c r="A127" s="2" t="s">
        <v>97</v>
      </c>
      <c r="B127" s="2" t="s">
        <v>50</v>
      </c>
      <c r="C127" s="2" t="s">
        <v>51</v>
      </c>
      <c r="D127" s="2" t="s">
        <v>48</v>
      </c>
      <c r="E127" s="3">
        <v>706.73</v>
      </c>
      <c r="F127" s="3">
        <v>1</v>
      </c>
      <c r="G127" s="3">
        <v>0.15</v>
      </c>
      <c r="H127" s="4">
        <v>45613</v>
      </c>
      <c r="I127" s="3">
        <v>150.18</v>
      </c>
      <c r="J127">
        <f t="shared" si="2"/>
        <v>172.707</v>
      </c>
      <c r="K127" s="6">
        <f t="shared" si="3"/>
        <v>0.995939043198958</v>
      </c>
    </row>
    <row r="128" ht="15.75" spans="1:11">
      <c r="A128" s="2" t="s">
        <v>92</v>
      </c>
      <c r="B128" s="2" t="s">
        <v>77</v>
      </c>
      <c r="C128" s="2" t="s">
        <v>45</v>
      </c>
      <c r="D128" s="2" t="s">
        <v>48</v>
      </c>
      <c r="E128" s="3">
        <v>1410.59</v>
      </c>
      <c r="F128" s="3">
        <v>15</v>
      </c>
      <c r="G128" s="3">
        <v>0</v>
      </c>
      <c r="H128" s="4">
        <v>45615</v>
      </c>
      <c r="I128" s="3">
        <v>352.65</v>
      </c>
      <c r="J128">
        <f t="shared" si="2"/>
        <v>352.65</v>
      </c>
      <c r="K128" s="6">
        <f t="shared" si="3"/>
        <v>-0.0427197130278819</v>
      </c>
    </row>
    <row r="129" ht="15.75" spans="1:11">
      <c r="A129" s="2" t="s">
        <v>59</v>
      </c>
      <c r="B129" s="2" t="s">
        <v>88</v>
      </c>
      <c r="C129" s="2" t="s">
        <v>47</v>
      </c>
      <c r="D129" s="2" t="s">
        <v>54</v>
      </c>
      <c r="E129" s="3">
        <v>1350.33</v>
      </c>
      <c r="F129" s="3">
        <v>10</v>
      </c>
      <c r="G129" s="3">
        <v>0</v>
      </c>
      <c r="H129" s="4">
        <v>45615</v>
      </c>
      <c r="I129" s="3">
        <v>472.62</v>
      </c>
      <c r="J129">
        <f t="shared" si="2"/>
        <v>472.62</v>
      </c>
      <c r="K129" s="6">
        <f t="shared" si="3"/>
        <v>-0.319292321136315</v>
      </c>
    </row>
    <row r="130" ht="15.75" spans="1:11">
      <c r="A130" s="2" t="s">
        <v>68</v>
      </c>
      <c r="B130" s="2" t="s">
        <v>72</v>
      </c>
      <c r="C130" s="2" t="s">
        <v>45</v>
      </c>
      <c r="D130" s="2" t="s">
        <v>48</v>
      </c>
      <c r="E130" s="3">
        <v>919.18</v>
      </c>
      <c r="F130" s="3">
        <v>4</v>
      </c>
      <c r="G130" s="3">
        <v>0.15</v>
      </c>
      <c r="H130" s="4">
        <v>45615</v>
      </c>
      <c r="I130" s="3">
        <v>195.33</v>
      </c>
      <c r="J130">
        <f t="shared" si="2"/>
        <v>224.6295</v>
      </c>
      <c r="K130" s="6">
        <f t="shared" si="3"/>
        <v>-0.718760199308079</v>
      </c>
    </row>
    <row r="131" ht="15.75" spans="1:11">
      <c r="A131" s="2" t="s">
        <v>101</v>
      </c>
      <c r="B131" s="2" t="s">
        <v>50</v>
      </c>
      <c r="C131" s="2" t="s">
        <v>38</v>
      </c>
      <c r="D131" s="2" t="s">
        <v>48</v>
      </c>
      <c r="E131" s="3">
        <v>258.51</v>
      </c>
      <c r="F131" s="3">
        <v>19</v>
      </c>
      <c r="G131" s="3">
        <v>0</v>
      </c>
      <c r="H131" s="4">
        <v>45616</v>
      </c>
      <c r="I131" s="3">
        <v>64.63</v>
      </c>
      <c r="J131">
        <f t="shared" ref="J131:J194" si="4">I131+(I131*G131)</f>
        <v>64.63</v>
      </c>
      <c r="K131" s="6">
        <f t="shared" ref="K131:K194" si="5">(E132-E131)/E131</f>
        <v>3.69413175505783</v>
      </c>
    </row>
    <row r="132" ht="15.75" spans="1:11">
      <c r="A132" s="2" t="s">
        <v>90</v>
      </c>
      <c r="B132" s="2" t="s">
        <v>88</v>
      </c>
      <c r="C132" s="2" t="s">
        <v>45</v>
      </c>
      <c r="D132" s="2" t="s">
        <v>39</v>
      </c>
      <c r="E132" s="3">
        <v>1213.48</v>
      </c>
      <c r="F132" s="3">
        <v>5</v>
      </c>
      <c r="G132" s="3">
        <v>0.05</v>
      </c>
      <c r="H132" s="4">
        <v>45616</v>
      </c>
      <c r="I132" s="3">
        <v>461.12</v>
      </c>
      <c r="J132">
        <f t="shared" si="4"/>
        <v>484.176</v>
      </c>
      <c r="K132" s="6">
        <f t="shared" si="5"/>
        <v>-0.0520816165078947</v>
      </c>
    </row>
    <row r="133" ht="15.75" spans="1:11">
      <c r="A133" s="2" t="s">
        <v>84</v>
      </c>
      <c r="B133" s="2" t="s">
        <v>65</v>
      </c>
      <c r="C133" s="2" t="s">
        <v>61</v>
      </c>
      <c r="D133" s="2" t="s">
        <v>39</v>
      </c>
      <c r="E133" s="3">
        <v>1150.28</v>
      </c>
      <c r="F133" s="3">
        <v>8</v>
      </c>
      <c r="G133" s="3">
        <v>0.05</v>
      </c>
      <c r="H133" s="4">
        <v>45622</v>
      </c>
      <c r="I133" s="3">
        <v>437.11</v>
      </c>
      <c r="J133">
        <f t="shared" si="4"/>
        <v>458.9655</v>
      </c>
      <c r="K133" s="6">
        <f t="shared" si="5"/>
        <v>-0.257693778906005</v>
      </c>
    </row>
    <row r="134" ht="15.75" spans="1:11">
      <c r="A134" s="2" t="s">
        <v>64</v>
      </c>
      <c r="B134" s="2" t="s">
        <v>98</v>
      </c>
      <c r="C134" s="2" t="s">
        <v>47</v>
      </c>
      <c r="D134" s="2" t="s">
        <v>54</v>
      </c>
      <c r="E134" s="3">
        <v>853.86</v>
      </c>
      <c r="F134" s="3">
        <v>8</v>
      </c>
      <c r="G134" s="3">
        <v>0.1</v>
      </c>
      <c r="H134" s="4">
        <v>45622</v>
      </c>
      <c r="I134" s="3">
        <v>268.97</v>
      </c>
      <c r="J134">
        <f t="shared" si="4"/>
        <v>295.867</v>
      </c>
      <c r="K134" s="6">
        <f t="shared" si="5"/>
        <v>0.242639308551753</v>
      </c>
    </row>
    <row r="135" ht="15.75" spans="1:11">
      <c r="A135" s="2" t="s">
        <v>102</v>
      </c>
      <c r="B135" s="2" t="s">
        <v>72</v>
      </c>
      <c r="C135" s="2" t="s">
        <v>47</v>
      </c>
      <c r="D135" s="2" t="s">
        <v>48</v>
      </c>
      <c r="E135" s="3">
        <v>1061.04</v>
      </c>
      <c r="F135" s="3">
        <v>1</v>
      </c>
      <c r="G135" s="3">
        <v>0</v>
      </c>
      <c r="H135" s="4">
        <v>45624</v>
      </c>
      <c r="I135" s="3">
        <v>265.26</v>
      </c>
      <c r="J135">
        <f t="shared" si="4"/>
        <v>265.26</v>
      </c>
      <c r="K135" s="6">
        <f t="shared" si="5"/>
        <v>-0.156912086254995</v>
      </c>
    </row>
    <row r="136" ht="15.75" spans="1:11">
      <c r="A136" s="2" t="s">
        <v>55</v>
      </c>
      <c r="B136" s="2" t="s">
        <v>70</v>
      </c>
      <c r="C136" s="2" t="s">
        <v>38</v>
      </c>
      <c r="D136" s="2" t="s">
        <v>48</v>
      </c>
      <c r="E136" s="3">
        <v>894.55</v>
      </c>
      <c r="F136" s="3">
        <v>19</v>
      </c>
      <c r="G136" s="3">
        <v>0.2</v>
      </c>
      <c r="H136" s="4">
        <v>45625</v>
      </c>
      <c r="I136" s="3">
        <v>178.91</v>
      </c>
      <c r="J136">
        <f t="shared" si="4"/>
        <v>214.692</v>
      </c>
      <c r="K136" s="6">
        <f t="shared" si="5"/>
        <v>-0.0677882734335699</v>
      </c>
    </row>
    <row r="137" ht="30.75" spans="1:11">
      <c r="A137" s="2" t="s">
        <v>52</v>
      </c>
      <c r="B137" s="2" t="s">
        <v>65</v>
      </c>
      <c r="C137" s="2" t="s">
        <v>51</v>
      </c>
      <c r="D137" s="2" t="s">
        <v>66</v>
      </c>
      <c r="E137" s="3">
        <v>833.91</v>
      </c>
      <c r="F137" s="3">
        <v>3</v>
      </c>
      <c r="G137" s="3">
        <v>0.05</v>
      </c>
      <c r="H137" s="4">
        <v>45626</v>
      </c>
      <c r="I137" s="3">
        <v>356.5</v>
      </c>
      <c r="J137">
        <f t="shared" si="4"/>
        <v>374.325</v>
      </c>
      <c r="K137" s="6">
        <f t="shared" si="5"/>
        <v>-0.0164526147905648</v>
      </c>
    </row>
    <row r="138" ht="15.75" spans="1:11">
      <c r="A138" s="2" t="s">
        <v>85</v>
      </c>
      <c r="B138" s="2" t="s">
        <v>98</v>
      </c>
      <c r="C138" s="2" t="s">
        <v>38</v>
      </c>
      <c r="D138" s="2" t="s">
        <v>54</v>
      </c>
      <c r="E138" s="3">
        <v>820.19</v>
      </c>
      <c r="F138" s="3">
        <v>4</v>
      </c>
      <c r="G138" s="3">
        <v>0.2</v>
      </c>
      <c r="H138" s="4">
        <v>45630</v>
      </c>
      <c r="I138" s="3">
        <v>229.65</v>
      </c>
      <c r="J138">
        <f t="shared" si="4"/>
        <v>275.58</v>
      </c>
      <c r="K138" s="6">
        <f t="shared" si="5"/>
        <v>-0.376071398090686</v>
      </c>
    </row>
    <row r="139" ht="15.75" spans="1:11">
      <c r="A139" s="2" t="s">
        <v>85</v>
      </c>
      <c r="B139" s="2" t="s">
        <v>65</v>
      </c>
      <c r="C139" s="2" t="s">
        <v>61</v>
      </c>
      <c r="D139" s="2" t="s">
        <v>48</v>
      </c>
      <c r="E139" s="3">
        <v>511.74</v>
      </c>
      <c r="F139" s="3">
        <v>8</v>
      </c>
      <c r="G139" s="3">
        <v>0.05</v>
      </c>
      <c r="H139" s="4">
        <v>45631</v>
      </c>
      <c r="I139" s="3">
        <v>121.54</v>
      </c>
      <c r="J139">
        <f t="shared" si="4"/>
        <v>127.617</v>
      </c>
      <c r="K139" s="6">
        <f t="shared" si="5"/>
        <v>0.575077187634345</v>
      </c>
    </row>
    <row r="140" ht="15.75" spans="1:11">
      <c r="A140" s="2" t="s">
        <v>92</v>
      </c>
      <c r="B140" s="2" t="s">
        <v>88</v>
      </c>
      <c r="C140" s="2" t="s">
        <v>47</v>
      </c>
      <c r="D140" s="2" t="s">
        <v>54</v>
      </c>
      <c r="E140" s="3">
        <v>806.03</v>
      </c>
      <c r="F140" s="3">
        <v>19</v>
      </c>
      <c r="G140" s="3">
        <v>0.05</v>
      </c>
      <c r="H140" s="4">
        <v>45638</v>
      </c>
      <c r="I140" s="3">
        <v>268</v>
      </c>
      <c r="J140">
        <f t="shared" si="4"/>
        <v>281.4</v>
      </c>
      <c r="K140" s="6">
        <f t="shared" si="5"/>
        <v>0.77719191593365</v>
      </c>
    </row>
    <row r="141" ht="30.75" spans="1:11">
      <c r="A141" s="2" t="s">
        <v>55</v>
      </c>
      <c r="B141" s="2" t="s">
        <v>53</v>
      </c>
      <c r="C141" s="2" t="s">
        <v>61</v>
      </c>
      <c r="D141" s="2" t="s">
        <v>54</v>
      </c>
      <c r="E141" s="3">
        <v>1432.47</v>
      </c>
      <c r="F141" s="3">
        <v>16</v>
      </c>
      <c r="G141" s="3">
        <v>0.15</v>
      </c>
      <c r="H141" s="4">
        <v>45640</v>
      </c>
      <c r="I141" s="3">
        <v>426.16</v>
      </c>
      <c r="J141">
        <f t="shared" si="4"/>
        <v>490.084</v>
      </c>
      <c r="K141" s="6">
        <f t="shared" si="5"/>
        <v>0.0391701047840443</v>
      </c>
    </row>
    <row r="142" ht="15.75" spans="1:11">
      <c r="A142" s="2" t="s">
        <v>101</v>
      </c>
      <c r="B142" s="2" t="s">
        <v>56</v>
      </c>
      <c r="C142" s="2" t="s">
        <v>61</v>
      </c>
      <c r="D142" s="2" t="s">
        <v>48</v>
      </c>
      <c r="E142" s="3">
        <v>1488.58</v>
      </c>
      <c r="F142" s="3">
        <v>10</v>
      </c>
      <c r="G142" s="3">
        <v>0.15</v>
      </c>
      <c r="H142" s="4">
        <v>45640</v>
      </c>
      <c r="I142" s="3">
        <v>316.32</v>
      </c>
      <c r="J142">
        <f t="shared" si="4"/>
        <v>363.768</v>
      </c>
      <c r="K142" s="6">
        <f t="shared" si="5"/>
        <v>-0.172862728237649</v>
      </c>
    </row>
    <row r="143" ht="15.75" spans="1:11">
      <c r="A143" s="2" t="s">
        <v>57</v>
      </c>
      <c r="B143" s="2" t="s">
        <v>93</v>
      </c>
      <c r="C143" s="2" t="s">
        <v>45</v>
      </c>
      <c r="D143" s="2" t="s">
        <v>39</v>
      </c>
      <c r="E143" s="3">
        <v>1231.26</v>
      </c>
      <c r="F143" s="3">
        <v>9</v>
      </c>
      <c r="G143" s="3">
        <v>0</v>
      </c>
      <c r="H143" s="4">
        <v>45646</v>
      </c>
      <c r="I143" s="3">
        <v>492.5</v>
      </c>
      <c r="J143">
        <f t="shared" si="4"/>
        <v>492.5</v>
      </c>
      <c r="K143" s="6">
        <f t="shared" si="5"/>
        <v>-0.0565193379140067</v>
      </c>
    </row>
    <row r="144" ht="15.75" spans="1:11">
      <c r="A144" s="2" t="s">
        <v>57</v>
      </c>
      <c r="B144" s="2" t="s">
        <v>70</v>
      </c>
      <c r="C144" s="2" t="s">
        <v>38</v>
      </c>
      <c r="D144" s="2" t="s">
        <v>48</v>
      </c>
      <c r="E144" s="3">
        <v>1161.67</v>
      </c>
      <c r="F144" s="3">
        <v>19</v>
      </c>
      <c r="G144" s="3">
        <v>0.2</v>
      </c>
      <c r="H144" s="4">
        <v>45647</v>
      </c>
      <c r="I144" s="3">
        <v>232.33</v>
      </c>
      <c r="J144">
        <f t="shared" si="4"/>
        <v>278.796</v>
      </c>
      <c r="K144" s="6">
        <f t="shared" si="5"/>
        <v>-0.665800098134582</v>
      </c>
    </row>
    <row r="145" ht="30.75" spans="1:11">
      <c r="A145" s="2" t="s">
        <v>76</v>
      </c>
      <c r="B145" s="2" t="s">
        <v>72</v>
      </c>
      <c r="C145" s="2" t="s">
        <v>61</v>
      </c>
      <c r="D145" s="2" t="s">
        <v>66</v>
      </c>
      <c r="E145" s="3">
        <v>388.23</v>
      </c>
      <c r="F145" s="3">
        <v>16</v>
      </c>
      <c r="G145" s="3">
        <v>0.05</v>
      </c>
      <c r="H145" s="4">
        <v>45650</v>
      </c>
      <c r="I145" s="3">
        <v>165.97</v>
      </c>
      <c r="J145">
        <f t="shared" si="4"/>
        <v>174.2685</v>
      </c>
      <c r="K145" s="6">
        <f t="shared" si="5"/>
        <v>3.09401643355743</v>
      </c>
    </row>
    <row r="146" ht="15.75" spans="1:11">
      <c r="A146" s="2" t="s">
        <v>99</v>
      </c>
      <c r="B146" s="2" t="s">
        <v>58</v>
      </c>
      <c r="C146" s="2" t="s">
        <v>51</v>
      </c>
      <c r="D146" s="2" t="s">
        <v>42</v>
      </c>
      <c r="E146" s="3">
        <v>1589.42</v>
      </c>
      <c r="F146" s="3">
        <v>6</v>
      </c>
      <c r="G146" s="3">
        <v>0.15</v>
      </c>
      <c r="H146" s="4">
        <v>45651</v>
      </c>
      <c r="I146" s="3">
        <v>675.5</v>
      </c>
      <c r="J146">
        <f t="shared" si="4"/>
        <v>776.825</v>
      </c>
      <c r="K146" s="6">
        <f t="shared" si="5"/>
        <v>-0.788186885782235</v>
      </c>
    </row>
    <row r="147" ht="15.75" spans="1:11">
      <c r="A147" s="2" t="s">
        <v>55</v>
      </c>
      <c r="B147" s="2" t="s">
        <v>98</v>
      </c>
      <c r="C147" s="2" t="s">
        <v>51</v>
      </c>
      <c r="D147" s="2" t="s">
        <v>42</v>
      </c>
      <c r="E147" s="3">
        <v>336.66</v>
      </c>
      <c r="F147" s="3">
        <v>13</v>
      </c>
      <c r="G147" s="3">
        <v>0.2</v>
      </c>
      <c r="H147" s="4">
        <v>45651</v>
      </c>
      <c r="I147" s="3">
        <v>134.66</v>
      </c>
      <c r="J147">
        <f t="shared" si="4"/>
        <v>161.592</v>
      </c>
      <c r="K147" s="6">
        <f t="shared" si="5"/>
        <v>3.02123804431771</v>
      </c>
    </row>
    <row r="148" ht="15.75" spans="1:11">
      <c r="A148" s="2" t="s">
        <v>76</v>
      </c>
      <c r="B148" s="2" t="s">
        <v>50</v>
      </c>
      <c r="C148" s="2" t="s">
        <v>38</v>
      </c>
      <c r="D148" s="2" t="s">
        <v>39</v>
      </c>
      <c r="E148" s="3">
        <v>1353.79</v>
      </c>
      <c r="F148" s="3">
        <v>14</v>
      </c>
      <c r="G148" s="3">
        <v>0.1</v>
      </c>
      <c r="H148" s="4">
        <v>45656</v>
      </c>
      <c r="I148" s="3">
        <v>487.36</v>
      </c>
      <c r="J148">
        <f t="shared" si="4"/>
        <v>536.096</v>
      </c>
      <c r="K148" s="6">
        <f t="shared" si="5"/>
        <v>-0.510551858116842</v>
      </c>
    </row>
    <row r="149" ht="15.75" spans="1:11">
      <c r="A149" s="2" t="s">
        <v>90</v>
      </c>
      <c r="B149" s="2" t="s">
        <v>96</v>
      </c>
      <c r="C149" s="2" t="s">
        <v>61</v>
      </c>
      <c r="D149" s="2" t="s">
        <v>42</v>
      </c>
      <c r="E149" s="3">
        <v>662.61</v>
      </c>
      <c r="F149" s="3">
        <v>11</v>
      </c>
      <c r="G149" s="3">
        <v>0.05</v>
      </c>
      <c r="H149" s="4">
        <v>45658</v>
      </c>
      <c r="I149" s="3">
        <v>314.74</v>
      </c>
      <c r="J149">
        <f t="shared" si="4"/>
        <v>330.477</v>
      </c>
      <c r="K149" s="6">
        <f t="shared" si="5"/>
        <v>-0.533028478290397</v>
      </c>
    </row>
    <row r="150" ht="30.75" spans="1:11">
      <c r="A150" s="2" t="s">
        <v>79</v>
      </c>
      <c r="B150" s="2" t="s">
        <v>75</v>
      </c>
      <c r="C150" s="2" t="s">
        <v>51</v>
      </c>
      <c r="D150" s="2" t="s">
        <v>66</v>
      </c>
      <c r="E150" s="3">
        <v>309.42</v>
      </c>
      <c r="F150" s="3">
        <v>1</v>
      </c>
      <c r="G150" s="3">
        <v>0.2</v>
      </c>
      <c r="H150" s="4">
        <v>45658</v>
      </c>
      <c r="I150" s="3">
        <v>111.39</v>
      </c>
      <c r="J150">
        <f t="shared" si="4"/>
        <v>133.668</v>
      </c>
      <c r="K150" s="6">
        <f t="shared" si="5"/>
        <v>1.8589942473014</v>
      </c>
    </row>
    <row r="151" ht="15.75" spans="1:11">
      <c r="A151" s="2" t="s">
        <v>90</v>
      </c>
      <c r="B151" s="2" t="s">
        <v>56</v>
      </c>
      <c r="C151" s="2" t="s">
        <v>51</v>
      </c>
      <c r="D151" s="2" t="s">
        <v>39</v>
      </c>
      <c r="E151" s="3">
        <v>884.63</v>
      </c>
      <c r="F151" s="3">
        <v>18</v>
      </c>
      <c r="G151" s="3">
        <v>0.1</v>
      </c>
      <c r="H151" s="4">
        <v>45659</v>
      </c>
      <c r="I151" s="3">
        <v>318.47</v>
      </c>
      <c r="J151">
        <f t="shared" si="4"/>
        <v>350.317</v>
      </c>
      <c r="K151" s="6">
        <f t="shared" si="5"/>
        <v>-0.157783480099024</v>
      </c>
    </row>
    <row r="152" ht="30.75" spans="1:11">
      <c r="A152" s="2" t="s">
        <v>79</v>
      </c>
      <c r="B152" s="2" t="s">
        <v>50</v>
      </c>
      <c r="C152" s="2" t="s">
        <v>61</v>
      </c>
      <c r="D152" s="2" t="s">
        <v>66</v>
      </c>
      <c r="E152" s="3">
        <v>745.05</v>
      </c>
      <c r="F152" s="3">
        <v>10</v>
      </c>
      <c r="G152" s="3">
        <v>0.1</v>
      </c>
      <c r="H152" s="4">
        <v>45660</v>
      </c>
      <c r="I152" s="3">
        <v>301.75</v>
      </c>
      <c r="J152">
        <f t="shared" si="4"/>
        <v>331.925</v>
      </c>
      <c r="K152" s="6">
        <f t="shared" si="5"/>
        <v>0.168015569424871</v>
      </c>
    </row>
    <row r="153" ht="15.75" spans="1:11">
      <c r="A153" s="2" t="s">
        <v>87</v>
      </c>
      <c r="B153" s="2" t="s">
        <v>44</v>
      </c>
      <c r="C153" s="2" t="s">
        <v>47</v>
      </c>
      <c r="D153" s="2" t="s">
        <v>42</v>
      </c>
      <c r="E153" s="3">
        <v>870.23</v>
      </c>
      <c r="F153" s="3">
        <v>5</v>
      </c>
      <c r="G153" s="3">
        <v>0.05</v>
      </c>
      <c r="H153" s="4">
        <v>45660</v>
      </c>
      <c r="I153" s="3">
        <v>413.36</v>
      </c>
      <c r="J153">
        <f t="shared" si="4"/>
        <v>434.028</v>
      </c>
      <c r="K153" s="6">
        <f t="shared" si="5"/>
        <v>-0.00923893683279129</v>
      </c>
    </row>
    <row r="154" ht="15.75" spans="1:11">
      <c r="A154" s="2" t="s">
        <v>62</v>
      </c>
      <c r="B154" s="2" t="s">
        <v>56</v>
      </c>
      <c r="C154" s="2" t="s">
        <v>38</v>
      </c>
      <c r="D154" s="2" t="s">
        <v>54</v>
      </c>
      <c r="E154" s="3">
        <v>862.19</v>
      </c>
      <c r="F154" s="3">
        <v>18</v>
      </c>
      <c r="G154" s="3">
        <v>0.05</v>
      </c>
      <c r="H154" s="4">
        <v>45663</v>
      </c>
      <c r="I154" s="3">
        <v>286.68</v>
      </c>
      <c r="J154">
        <f t="shared" si="4"/>
        <v>301.014</v>
      </c>
      <c r="K154" s="6">
        <f t="shared" si="5"/>
        <v>0.358378083717046</v>
      </c>
    </row>
    <row r="155" ht="15.75" spans="1:11">
      <c r="A155" s="2" t="s">
        <v>100</v>
      </c>
      <c r="B155" s="2" t="s">
        <v>86</v>
      </c>
      <c r="C155" s="2" t="s">
        <v>51</v>
      </c>
      <c r="D155" s="2" t="s">
        <v>42</v>
      </c>
      <c r="E155" s="3">
        <v>1171.18</v>
      </c>
      <c r="F155" s="3">
        <v>19</v>
      </c>
      <c r="G155" s="3">
        <v>0.05</v>
      </c>
      <c r="H155" s="4">
        <v>45667</v>
      </c>
      <c r="I155" s="3">
        <v>556.31</v>
      </c>
      <c r="J155">
        <f t="shared" si="4"/>
        <v>584.1255</v>
      </c>
      <c r="K155" s="6">
        <f t="shared" si="5"/>
        <v>-0.0995747878208304</v>
      </c>
    </row>
    <row r="156" ht="15.75" spans="1:11">
      <c r="A156" s="2" t="s">
        <v>85</v>
      </c>
      <c r="B156" s="2" t="s">
        <v>41</v>
      </c>
      <c r="C156" s="2" t="s">
        <v>47</v>
      </c>
      <c r="D156" s="2" t="s">
        <v>54</v>
      </c>
      <c r="E156" s="3">
        <v>1054.56</v>
      </c>
      <c r="F156" s="3">
        <v>11</v>
      </c>
      <c r="G156" s="3">
        <v>0.1</v>
      </c>
      <c r="H156" s="4">
        <v>45669</v>
      </c>
      <c r="I156" s="3">
        <v>332.19</v>
      </c>
      <c r="J156">
        <f t="shared" si="4"/>
        <v>365.409</v>
      </c>
      <c r="K156" s="6">
        <f t="shared" si="5"/>
        <v>0.594228872705204</v>
      </c>
    </row>
    <row r="157" ht="15.75" spans="1:11">
      <c r="A157" s="2" t="s">
        <v>85</v>
      </c>
      <c r="B157" s="2" t="s">
        <v>50</v>
      </c>
      <c r="C157" s="2" t="s">
        <v>51</v>
      </c>
      <c r="D157" s="2" t="s">
        <v>48</v>
      </c>
      <c r="E157" s="3">
        <v>1681.21</v>
      </c>
      <c r="F157" s="3">
        <v>5</v>
      </c>
      <c r="G157" s="3">
        <v>0.2</v>
      </c>
      <c r="H157" s="4">
        <v>45670</v>
      </c>
      <c r="I157" s="3">
        <v>336.24</v>
      </c>
      <c r="J157">
        <f t="shared" si="4"/>
        <v>403.488</v>
      </c>
      <c r="K157" s="6">
        <f t="shared" si="5"/>
        <v>-0.774109123785845</v>
      </c>
    </row>
    <row r="158" ht="15.75" spans="1:11">
      <c r="A158" s="2" t="s">
        <v>85</v>
      </c>
      <c r="B158" s="2" t="s">
        <v>63</v>
      </c>
      <c r="C158" s="2" t="s">
        <v>38</v>
      </c>
      <c r="D158" s="2" t="s">
        <v>42</v>
      </c>
      <c r="E158" s="3">
        <v>379.77</v>
      </c>
      <c r="F158" s="3">
        <v>9</v>
      </c>
      <c r="G158" s="3">
        <v>0.05</v>
      </c>
      <c r="H158" s="4">
        <v>45673</v>
      </c>
      <c r="I158" s="3">
        <v>180.39</v>
      </c>
      <c r="J158">
        <f t="shared" si="4"/>
        <v>189.4095</v>
      </c>
      <c r="K158" s="6">
        <f t="shared" si="5"/>
        <v>1.83416278273692</v>
      </c>
    </row>
    <row r="159" ht="15.75" spans="1:11">
      <c r="A159" s="2" t="s">
        <v>71</v>
      </c>
      <c r="B159" s="2" t="s">
        <v>72</v>
      </c>
      <c r="C159" s="2" t="s">
        <v>61</v>
      </c>
      <c r="D159" s="2" t="s">
        <v>42</v>
      </c>
      <c r="E159" s="3">
        <v>1076.33</v>
      </c>
      <c r="F159" s="3">
        <v>2</v>
      </c>
      <c r="G159" s="3">
        <v>0.1</v>
      </c>
      <c r="H159" s="4">
        <v>45674</v>
      </c>
      <c r="I159" s="3">
        <v>484.35</v>
      </c>
      <c r="J159">
        <f t="shared" si="4"/>
        <v>532.785</v>
      </c>
      <c r="K159" s="6">
        <f t="shared" si="5"/>
        <v>0.162013508868098</v>
      </c>
    </row>
    <row r="160" ht="30.75" spans="1:11">
      <c r="A160" s="2" t="s">
        <v>71</v>
      </c>
      <c r="B160" s="2" t="s">
        <v>58</v>
      </c>
      <c r="C160" s="2" t="s">
        <v>61</v>
      </c>
      <c r="D160" s="2" t="s">
        <v>66</v>
      </c>
      <c r="E160" s="3">
        <v>1250.71</v>
      </c>
      <c r="F160" s="3">
        <v>7</v>
      </c>
      <c r="G160" s="3">
        <v>0</v>
      </c>
      <c r="H160" s="4">
        <v>45674</v>
      </c>
      <c r="I160" s="3">
        <v>562.82</v>
      </c>
      <c r="J160">
        <f t="shared" si="4"/>
        <v>562.82</v>
      </c>
      <c r="K160" s="6">
        <f t="shared" si="5"/>
        <v>-0.105835885217197</v>
      </c>
    </row>
    <row r="161" ht="15.75" spans="1:11">
      <c r="A161" s="2" t="s">
        <v>67</v>
      </c>
      <c r="B161" s="2" t="s">
        <v>44</v>
      </c>
      <c r="C161" s="2" t="s">
        <v>47</v>
      </c>
      <c r="D161" s="2" t="s">
        <v>42</v>
      </c>
      <c r="E161" s="3">
        <v>1118.34</v>
      </c>
      <c r="F161" s="3">
        <v>6</v>
      </c>
      <c r="G161" s="3">
        <v>0.2</v>
      </c>
      <c r="H161" s="4">
        <v>45674</v>
      </c>
      <c r="I161" s="3">
        <v>447.34</v>
      </c>
      <c r="J161">
        <f t="shared" si="4"/>
        <v>536.808</v>
      </c>
      <c r="K161" s="6">
        <f t="shared" si="5"/>
        <v>0.45091832537511</v>
      </c>
    </row>
    <row r="162" ht="15.75" spans="1:11">
      <c r="A162" s="2" t="s">
        <v>97</v>
      </c>
      <c r="B162" s="2" t="s">
        <v>80</v>
      </c>
      <c r="C162" s="2" t="s">
        <v>51</v>
      </c>
      <c r="D162" s="2" t="s">
        <v>42</v>
      </c>
      <c r="E162" s="3">
        <v>1622.62</v>
      </c>
      <c r="F162" s="3">
        <v>12</v>
      </c>
      <c r="G162" s="3">
        <v>0.2</v>
      </c>
      <c r="H162" s="4">
        <v>45677</v>
      </c>
      <c r="I162" s="3">
        <v>649.05</v>
      </c>
      <c r="J162">
        <f t="shared" si="4"/>
        <v>778.86</v>
      </c>
      <c r="K162" s="6">
        <f t="shared" si="5"/>
        <v>-0.605181743106827</v>
      </c>
    </row>
    <row r="163" ht="15.75" spans="1:11">
      <c r="A163" s="2" t="s">
        <v>102</v>
      </c>
      <c r="B163" s="2" t="s">
        <v>75</v>
      </c>
      <c r="C163" s="2" t="s">
        <v>51</v>
      </c>
      <c r="D163" s="2" t="s">
        <v>39</v>
      </c>
      <c r="E163" s="3">
        <v>640.64</v>
      </c>
      <c r="F163" s="3">
        <v>11</v>
      </c>
      <c r="G163" s="3">
        <v>0.2</v>
      </c>
      <c r="H163" s="4">
        <v>45678</v>
      </c>
      <c r="I163" s="3">
        <v>205</v>
      </c>
      <c r="J163">
        <f t="shared" si="4"/>
        <v>246</v>
      </c>
      <c r="K163" s="6">
        <f t="shared" si="5"/>
        <v>-0.0866008991008991</v>
      </c>
    </row>
    <row r="164" ht="15.75" spans="1:11">
      <c r="A164" s="2" t="s">
        <v>49</v>
      </c>
      <c r="B164" s="2" t="s">
        <v>70</v>
      </c>
      <c r="C164" s="2" t="s">
        <v>38</v>
      </c>
      <c r="D164" s="2" t="s">
        <v>42</v>
      </c>
      <c r="E164" s="3">
        <v>585.16</v>
      </c>
      <c r="F164" s="3">
        <v>17</v>
      </c>
      <c r="G164" s="3">
        <v>0.1</v>
      </c>
      <c r="H164" s="4">
        <v>45684</v>
      </c>
      <c r="I164" s="3">
        <v>263.32</v>
      </c>
      <c r="J164">
        <f t="shared" si="4"/>
        <v>289.652</v>
      </c>
      <c r="K164" s="6">
        <f t="shared" si="5"/>
        <v>0.896882903821177</v>
      </c>
    </row>
    <row r="165" ht="15.75" spans="1:11">
      <c r="A165" s="2" t="s">
        <v>49</v>
      </c>
      <c r="B165" s="2" t="s">
        <v>58</v>
      </c>
      <c r="C165" s="2" t="s">
        <v>45</v>
      </c>
      <c r="D165" s="2" t="s">
        <v>42</v>
      </c>
      <c r="E165" s="3">
        <v>1109.98</v>
      </c>
      <c r="F165" s="3">
        <v>5</v>
      </c>
      <c r="G165" s="3">
        <v>0.2</v>
      </c>
      <c r="H165" s="4">
        <v>45690</v>
      </c>
      <c r="I165" s="3">
        <v>443.99</v>
      </c>
      <c r="J165">
        <f t="shared" si="4"/>
        <v>532.788</v>
      </c>
      <c r="K165" s="6">
        <f t="shared" si="5"/>
        <v>-0.0107209138903404</v>
      </c>
    </row>
    <row r="166" ht="15.75" spans="1:11">
      <c r="A166" s="2" t="s">
        <v>85</v>
      </c>
      <c r="B166" s="2" t="s">
        <v>72</v>
      </c>
      <c r="C166" s="2" t="s">
        <v>45</v>
      </c>
      <c r="D166" s="2" t="s">
        <v>39</v>
      </c>
      <c r="E166" s="3">
        <v>1098.08</v>
      </c>
      <c r="F166" s="3">
        <v>9</v>
      </c>
      <c r="G166" s="3">
        <v>0.1</v>
      </c>
      <c r="H166" s="4">
        <v>45692</v>
      </c>
      <c r="I166" s="3">
        <v>395.31</v>
      </c>
      <c r="J166">
        <f t="shared" si="4"/>
        <v>434.841</v>
      </c>
      <c r="K166" s="6">
        <f t="shared" si="5"/>
        <v>-0.246639589100976</v>
      </c>
    </row>
    <row r="167" ht="30.75" spans="1:11">
      <c r="A167" s="2" t="s">
        <v>92</v>
      </c>
      <c r="B167" s="2" t="s">
        <v>75</v>
      </c>
      <c r="C167" s="2" t="s">
        <v>38</v>
      </c>
      <c r="D167" s="2" t="s">
        <v>66</v>
      </c>
      <c r="E167" s="3">
        <v>827.25</v>
      </c>
      <c r="F167" s="3">
        <v>7</v>
      </c>
      <c r="G167" s="3">
        <v>0.1</v>
      </c>
      <c r="H167" s="4">
        <v>45693</v>
      </c>
      <c r="I167" s="3">
        <v>335.04</v>
      </c>
      <c r="J167">
        <f t="shared" si="4"/>
        <v>368.544</v>
      </c>
      <c r="K167" s="6">
        <f t="shared" si="5"/>
        <v>-0.10319734058628</v>
      </c>
    </row>
    <row r="168" ht="15.75" spans="1:11">
      <c r="A168" s="2" t="s">
        <v>97</v>
      </c>
      <c r="B168" s="2" t="s">
        <v>56</v>
      </c>
      <c r="C168" s="2" t="s">
        <v>61</v>
      </c>
      <c r="D168" s="2" t="s">
        <v>42</v>
      </c>
      <c r="E168" s="3">
        <v>741.88</v>
      </c>
      <c r="F168" s="3">
        <v>16</v>
      </c>
      <c r="G168" s="3">
        <v>0.1</v>
      </c>
      <c r="H168" s="4">
        <v>45695</v>
      </c>
      <c r="I168" s="3">
        <v>333.85</v>
      </c>
      <c r="J168">
        <f t="shared" si="4"/>
        <v>367.235</v>
      </c>
      <c r="K168" s="6">
        <f t="shared" si="5"/>
        <v>0.767482611743139</v>
      </c>
    </row>
    <row r="169" ht="30.75" spans="1:11">
      <c r="A169" s="2" t="s">
        <v>99</v>
      </c>
      <c r="B169" s="2" t="s">
        <v>37</v>
      </c>
      <c r="C169" s="2" t="s">
        <v>45</v>
      </c>
      <c r="D169" s="2" t="s">
        <v>66</v>
      </c>
      <c r="E169" s="3">
        <v>1311.26</v>
      </c>
      <c r="F169" s="3">
        <v>6</v>
      </c>
      <c r="G169" s="3">
        <v>0.1</v>
      </c>
      <c r="H169" s="4">
        <v>45698</v>
      </c>
      <c r="I169" s="3">
        <v>531.06</v>
      </c>
      <c r="J169">
        <f t="shared" si="4"/>
        <v>584.166</v>
      </c>
      <c r="K169" s="6">
        <f t="shared" si="5"/>
        <v>-0.562771685249302</v>
      </c>
    </row>
    <row r="170" ht="30.75" spans="1:11">
      <c r="A170" s="2" t="s">
        <v>99</v>
      </c>
      <c r="B170" s="2" t="s">
        <v>58</v>
      </c>
      <c r="C170" s="2" t="s">
        <v>47</v>
      </c>
      <c r="D170" s="2" t="s">
        <v>66</v>
      </c>
      <c r="E170" s="3">
        <v>573.32</v>
      </c>
      <c r="F170" s="3">
        <v>19</v>
      </c>
      <c r="G170" s="3">
        <v>0.1</v>
      </c>
      <c r="H170" s="4">
        <v>45703</v>
      </c>
      <c r="I170" s="3">
        <v>232.19</v>
      </c>
      <c r="J170">
        <f t="shared" si="4"/>
        <v>255.409</v>
      </c>
      <c r="K170" s="6">
        <f t="shared" si="5"/>
        <v>0.945196399916277</v>
      </c>
    </row>
    <row r="171" ht="15.75" spans="1:11">
      <c r="A171" s="2" t="s">
        <v>79</v>
      </c>
      <c r="B171" s="2" t="s">
        <v>50</v>
      </c>
      <c r="C171" s="2" t="s">
        <v>38</v>
      </c>
      <c r="D171" s="2" t="s">
        <v>48</v>
      </c>
      <c r="E171" s="3">
        <v>1115.22</v>
      </c>
      <c r="F171" s="3">
        <v>14</v>
      </c>
      <c r="G171" s="3">
        <v>0.2</v>
      </c>
      <c r="H171" s="4">
        <v>45705</v>
      </c>
      <c r="I171" s="3">
        <v>223.04</v>
      </c>
      <c r="J171">
        <f t="shared" si="4"/>
        <v>267.648</v>
      </c>
      <c r="K171" s="6">
        <f t="shared" si="5"/>
        <v>-0.241548752712469</v>
      </c>
    </row>
    <row r="172" ht="15.75" spans="1:11">
      <c r="A172" s="2" t="s">
        <v>40</v>
      </c>
      <c r="B172" s="2" t="s">
        <v>72</v>
      </c>
      <c r="C172" s="2" t="s">
        <v>51</v>
      </c>
      <c r="D172" s="2" t="s">
        <v>42</v>
      </c>
      <c r="E172" s="3">
        <v>845.84</v>
      </c>
      <c r="F172" s="3">
        <v>4</v>
      </c>
      <c r="G172" s="3">
        <v>0</v>
      </c>
      <c r="H172" s="4">
        <v>45707</v>
      </c>
      <c r="I172" s="3">
        <v>422.92</v>
      </c>
      <c r="J172">
        <f t="shared" si="4"/>
        <v>422.92</v>
      </c>
      <c r="K172" s="6">
        <f t="shared" si="5"/>
        <v>0.217487940981746</v>
      </c>
    </row>
    <row r="173" ht="15.75" spans="1:11">
      <c r="A173" s="2" t="s">
        <v>57</v>
      </c>
      <c r="B173" s="2" t="s">
        <v>82</v>
      </c>
      <c r="C173" s="2" t="s">
        <v>38</v>
      </c>
      <c r="D173" s="2" t="s">
        <v>48</v>
      </c>
      <c r="E173" s="3">
        <v>1029.8</v>
      </c>
      <c r="F173" s="3">
        <v>3</v>
      </c>
      <c r="G173" s="3">
        <v>0</v>
      </c>
      <c r="H173" s="4">
        <v>45708</v>
      </c>
      <c r="I173" s="3">
        <v>257.45</v>
      </c>
      <c r="J173">
        <f t="shared" si="4"/>
        <v>257.45</v>
      </c>
      <c r="K173" s="6">
        <f t="shared" si="5"/>
        <v>0.155399106622645</v>
      </c>
    </row>
    <row r="174" ht="15.75" spans="1:11">
      <c r="A174" s="2" t="s">
        <v>59</v>
      </c>
      <c r="B174" s="2" t="s">
        <v>58</v>
      </c>
      <c r="C174" s="2" t="s">
        <v>51</v>
      </c>
      <c r="D174" s="2" t="s">
        <v>39</v>
      </c>
      <c r="E174" s="3">
        <v>1189.83</v>
      </c>
      <c r="F174" s="3">
        <v>2</v>
      </c>
      <c r="G174" s="3">
        <v>0.2</v>
      </c>
      <c r="H174" s="4">
        <v>45709</v>
      </c>
      <c r="I174" s="3">
        <v>380.75</v>
      </c>
      <c r="J174">
        <f t="shared" si="4"/>
        <v>456.9</v>
      </c>
      <c r="K174" s="6">
        <f t="shared" si="5"/>
        <v>-0.408083507727995</v>
      </c>
    </row>
    <row r="175" ht="15.75" spans="1:11">
      <c r="A175" s="2" t="s">
        <v>94</v>
      </c>
      <c r="B175" s="2" t="s">
        <v>70</v>
      </c>
      <c r="C175" s="2" t="s">
        <v>47</v>
      </c>
      <c r="D175" s="2" t="s">
        <v>39</v>
      </c>
      <c r="E175" s="3">
        <v>704.28</v>
      </c>
      <c r="F175" s="3">
        <v>15</v>
      </c>
      <c r="G175" s="3">
        <v>0.2</v>
      </c>
      <c r="H175" s="4">
        <v>45712</v>
      </c>
      <c r="I175" s="3">
        <v>225.37</v>
      </c>
      <c r="J175">
        <f t="shared" si="4"/>
        <v>270.444</v>
      </c>
      <c r="K175" s="6">
        <f t="shared" si="5"/>
        <v>1.29769409893792</v>
      </c>
    </row>
    <row r="176" ht="30.75" spans="1:11">
      <c r="A176" s="2" t="s">
        <v>92</v>
      </c>
      <c r="B176" s="2" t="s">
        <v>74</v>
      </c>
      <c r="C176" s="2" t="s">
        <v>61</v>
      </c>
      <c r="D176" s="2" t="s">
        <v>66</v>
      </c>
      <c r="E176" s="3">
        <v>1618.22</v>
      </c>
      <c r="F176" s="3">
        <v>12</v>
      </c>
      <c r="G176" s="3">
        <v>0.2</v>
      </c>
      <c r="H176" s="4">
        <v>45712</v>
      </c>
      <c r="I176" s="3">
        <v>582.56</v>
      </c>
      <c r="J176">
        <f t="shared" si="4"/>
        <v>699.072</v>
      </c>
      <c r="K176" s="6">
        <f t="shared" si="5"/>
        <v>-0.37311984773393</v>
      </c>
    </row>
    <row r="177" ht="15.75" spans="1:11">
      <c r="A177" s="2" t="s">
        <v>100</v>
      </c>
      <c r="B177" s="2" t="s">
        <v>80</v>
      </c>
      <c r="C177" s="2" t="s">
        <v>61</v>
      </c>
      <c r="D177" s="2" t="s">
        <v>39</v>
      </c>
      <c r="E177" s="3">
        <v>1014.43</v>
      </c>
      <c r="F177" s="3">
        <v>2</v>
      </c>
      <c r="G177" s="3">
        <v>0.15</v>
      </c>
      <c r="H177" s="4">
        <v>45713</v>
      </c>
      <c r="I177" s="3">
        <v>344.91</v>
      </c>
      <c r="J177">
        <f t="shared" si="4"/>
        <v>396.6465</v>
      </c>
      <c r="K177" s="6">
        <f t="shared" si="5"/>
        <v>-0.184793430793648</v>
      </c>
    </row>
    <row r="178" ht="15.75" spans="1:11">
      <c r="A178" s="2" t="s">
        <v>102</v>
      </c>
      <c r="B178" s="2" t="s">
        <v>58</v>
      </c>
      <c r="C178" s="2" t="s">
        <v>61</v>
      </c>
      <c r="D178" s="2" t="s">
        <v>42</v>
      </c>
      <c r="E178" s="3">
        <v>826.97</v>
      </c>
      <c r="F178" s="3">
        <v>18</v>
      </c>
      <c r="G178" s="3">
        <v>0.2</v>
      </c>
      <c r="H178" s="4">
        <v>45715</v>
      </c>
      <c r="I178" s="3">
        <v>330.79</v>
      </c>
      <c r="J178">
        <f t="shared" si="4"/>
        <v>396.948</v>
      </c>
      <c r="K178" s="6">
        <f t="shared" si="5"/>
        <v>0.236114973941014</v>
      </c>
    </row>
    <row r="179" ht="15.75" spans="1:11">
      <c r="A179" s="2" t="s">
        <v>43</v>
      </c>
      <c r="B179" s="2" t="s">
        <v>58</v>
      </c>
      <c r="C179" s="2" t="s">
        <v>61</v>
      </c>
      <c r="D179" s="2" t="s">
        <v>42</v>
      </c>
      <c r="E179" s="3">
        <v>1022.23</v>
      </c>
      <c r="F179" s="3">
        <v>8</v>
      </c>
      <c r="G179" s="3">
        <v>0.1</v>
      </c>
      <c r="H179" s="4">
        <v>45717</v>
      </c>
      <c r="I179" s="3">
        <v>460</v>
      </c>
      <c r="J179">
        <f t="shared" si="4"/>
        <v>506</v>
      </c>
      <c r="K179" s="6">
        <f t="shared" si="5"/>
        <v>0.0757755104037252</v>
      </c>
    </row>
    <row r="180" ht="15.75" spans="1:11">
      <c r="A180" s="2" t="s">
        <v>99</v>
      </c>
      <c r="B180" s="2" t="s">
        <v>56</v>
      </c>
      <c r="C180" s="2" t="s">
        <v>45</v>
      </c>
      <c r="D180" s="2" t="s">
        <v>39</v>
      </c>
      <c r="E180" s="3">
        <v>1099.69</v>
      </c>
      <c r="F180" s="3">
        <v>6</v>
      </c>
      <c r="G180" s="3">
        <v>0</v>
      </c>
      <c r="H180" s="4">
        <v>45718</v>
      </c>
      <c r="I180" s="3">
        <v>439.88</v>
      </c>
      <c r="J180">
        <f t="shared" si="4"/>
        <v>439.88</v>
      </c>
      <c r="K180" s="6">
        <f t="shared" si="5"/>
        <v>-0.353890641908174</v>
      </c>
    </row>
    <row r="181" ht="15.75" spans="1:11">
      <c r="A181" s="2" t="s">
        <v>79</v>
      </c>
      <c r="B181" s="2" t="s">
        <v>91</v>
      </c>
      <c r="C181" s="2" t="s">
        <v>51</v>
      </c>
      <c r="D181" s="2" t="s">
        <v>39</v>
      </c>
      <c r="E181" s="3">
        <v>710.52</v>
      </c>
      <c r="F181" s="3">
        <v>8</v>
      </c>
      <c r="G181" s="3">
        <v>0.1</v>
      </c>
      <c r="H181" s="4">
        <v>45721</v>
      </c>
      <c r="I181" s="3">
        <v>255.79</v>
      </c>
      <c r="J181">
        <f t="shared" si="4"/>
        <v>281.369</v>
      </c>
      <c r="K181" s="6">
        <f t="shared" si="5"/>
        <v>-0.297444125429263</v>
      </c>
    </row>
    <row r="182" ht="15.75" spans="1:11">
      <c r="A182" s="2" t="s">
        <v>79</v>
      </c>
      <c r="B182" s="2" t="s">
        <v>86</v>
      </c>
      <c r="C182" s="2" t="s">
        <v>51</v>
      </c>
      <c r="D182" s="2" t="s">
        <v>39</v>
      </c>
      <c r="E182" s="3">
        <v>499.18</v>
      </c>
      <c r="F182" s="3">
        <v>15</v>
      </c>
      <c r="G182" s="3">
        <v>0.2</v>
      </c>
      <c r="H182" s="4">
        <v>45724</v>
      </c>
      <c r="I182" s="3">
        <v>159.74</v>
      </c>
      <c r="J182">
        <f t="shared" si="4"/>
        <v>191.688</v>
      </c>
      <c r="K182" s="6">
        <f t="shared" si="5"/>
        <v>1.13187627709443</v>
      </c>
    </row>
    <row r="183" ht="15.75" spans="1:11">
      <c r="A183" s="2" t="s">
        <v>64</v>
      </c>
      <c r="B183" s="2" t="s">
        <v>65</v>
      </c>
      <c r="C183" s="2" t="s">
        <v>47</v>
      </c>
      <c r="D183" s="2" t="s">
        <v>39</v>
      </c>
      <c r="E183" s="3">
        <v>1064.19</v>
      </c>
      <c r="F183" s="3">
        <v>18</v>
      </c>
      <c r="G183" s="3">
        <v>0.05</v>
      </c>
      <c r="H183" s="4">
        <v>45725</v>
      </c>
      <c r="I183" s="3">
        <v>404.39</v>
      </c>
      <c r="J183">
        <f t="shared" si="4"/>
        <v>424.6095</v>
      </c>
      <c r="K183" s="6">
        <f t="shared" si="5"/>
        <v>-0.587705203018258</v>
      </c>
    </row>
    <row r="184" ht="30.75" spans="1:11">
      <c r="A184" s="2" t="s">
        <v>94</v>
      </c>
      <c r="B184" s="2" t="s">
        <v>65</v>
      </c>
      <c r="C184" s="2" t="s">
        <v>45</v>
      </c>
      <c r="D184" s="2" t="s">
        <v>66</v>
      </c>
      <c r="E184" s="3">
        <v>438.76</v>
      </c>
      <c r="F184" s="3">
        <v>18</v>
      </c>
      <c r="G184" s="3">
        <v>0.05</v>
      </c>
      <c r="H184" s="4">
        <v>45726</v>
      </c>
      <c r="I184" s="3">
        <v>187.57</v>
      </c>
      <c r="J184">
        <f t="shared" si="4"/>
        <v>196.9485</v>
      </c>
      <c r="K184" s="6">
        <f t="shared" si="5"/>
        <v>0.97141945482724</v>
      </c>
    </row>
    <row r="185" ht="15.75" spans="1:11">
      <c r="A185" s="2" t="s">
        <v>68</v>
      </c>
      <c r="B185" s="2" t="s">
        <v>82</v>
      </c>
      <c r="C185" s="2" t="s">
        <v>38</v>
      </c>
      <c r="D185" s="2" t="s">
        <v>42</v>
      </c>
      <c r="E185" s="3">
        <v>864.98</v>
      </c>
      <c r="F185" s="3">
        <v>2</v>
      </c>
      <c r="G185" s="3">
        <v>0.05</v>
      </c>
      <c r="H185" s="4">
        <v>45727</v>
      </c>
      <c r="I185" s="3">
        <v>410.87</v>
      </c>
      <c r="J185">
        <f t="shared" si="4"/>
        <v>431.4135</v>
      </c>
      <c r="K185" s="6">
        <f t="shared" si="5"/>
        <v>0.138673726560152</v>
      </c>
    </row>
    <row r="186" ht="15.75" spans="1:11">
      <c r="A186" s="2" t="s">
        <v>84</v>
      </c>
      <c r="B186" s="2" t="s">
        <v>82</v>
      </c>
      <c r="C186" s="2" t="s">
        <v>38</v>
      </c>
      <c r="D186" s="2" t="s">
        <v>54</v>
      </c>
      <c r="E186" s="3">
        <v>984.93</v>
      </c>
      <c r="F186" s="3">
        <v>14</v>
      </c>
      <c r="G186" s="3">
        <v>0.2</v>
      </c>
      <c r="H186" s="4">
        <v>45733</v>
      </c>
      <c r="I186" s="3">
        <v>275.78</v>
      </c>
      <c r="J186">
        <f t="shared" si="4"/>
        <v>330.936</v>
      </c>
      <c r="K186" s="6">
        <f t="shared" si="5"/>
        <v>0.516341262830861</v>
      </c>
    </row>
    <row r="187" ht="15.75" spans="1:11">
      <c r="A187" s="2" t="s">
        <v>52</v>
      </c>
      <c r="B187" s="2" t="s">
        <v>82</v>
      </c>
      <c r="C187" s="2" t="s">
        <v>38</v>
      </c>
      <c r="D187" s="2" t="s">
        <v>42</v>
      </c>
      <c r="E187" s="3">
        <v>1493.49</v>
      </c>
      <c r="F187" s="3">
        <v>18</v>
      </c>
      <c r="G187" s="3">
        <v>0</v>
      </c>
      <c r="H187" s="4">
        <v>45734</v>
      </c>
      <c r="I187" s="3">
        <v>746.74</v>
      </c>
      <c r="J187">
        <f t="shared" si="4"/>
        <v>746.74</v>
      </c>
      <c r="K187" s="6">
        <f t="shared" si="5"/>
        <v>-0.538376554245425</v>
      </c>
    </row>
    <row r="188" ht="15.75" spans="1:11">
      <c r="A188" s="2" t="s">
        <v>59</v>
      </c>
      <c r="B188" s="2" t="s">
        <v>80</v>
      </c>
      <c r="C188" s="2" t="s">
        <v>47</v>
      </c>
      <c r="D188" s="2" t="s">
        <v>42</v>
      </c>
      <c r="E188" s="3">
        <v>689.43</v>
      </c>
      <c r="F188" s="3">
        <v>9</v>
      </c>
      <c r="G188" s="3">
        <v>0.1</v>
      </c>
      <c r="H188" s="4">
        <v>45736</v>
      </c>
      <c r="I188" s="3">
        <v>310.24</v>
      </c>
      <c r="J188">
        <f t="shared" si="4"/>
        <v>341.264</v>
      </c>
      <c r="K188" s="6">
        <f t="shared" si="5"/>
        <v>-0.0104289050374947</v>
      </c>
    </row>
    <row r="189" ht="15.75" spans="1:11">
      <c r="A189" s="2" t="s">
        <v>67</v>
      </c>
      <c r="B189" s="2" t="s">
        <v>86</v>
      </c>
      <c r="C189" s="2" t="s">
        <v>47</v>
      </c>
      <c r="D189" s="2" t="s">
        <v>42</v>
      </c>
      <c r="E189" s="3">
        <v>682.24</v>
      </c>
      <c r="F189" s="3">
        <v>1</v>
      </c>
      <c r="G189" s="3">
        <v>0</v>
      </c>
      <c r="H189" s="4">
        <v>45738</v>
      </c>
      <c r="I189" s="3">
        <v>341.12</v>
      </c>
      <c r="J189">
        <f t="shared" si="4"/>
        <v>341.12</v>
      </c>
      <c r="K189" s="6">
        <f t="shared" si="5"/>
        <v>-0.327890478424015</v>
      </c>
    </row>
    <row r="190" ht="30.75" spans="1:11">
      <c r="A190" s="2" t="s">
        <v>68</v>
      </c>
      <c r="B190" s="2" t="s">
        <v>53</v>
      </c>
      <c r="C190" s="2" t="s">
        <v>51</v>
      </c>
      <c r="D190" s="2" t="s">
        <v>48</v>
      </c>
      <c r="E190" s="3">
        <v>458.54</v>
      </c>
      <c r="F190" s="3">
        <v>15</v>
      </c>
      <c r="G190" s="3">
        <v>0.2</v>
      </c>
      <c r="H190" s="4">
        <v>45741</v>
      </c>
      <c r="I190" s="3">
        <v>91.71</v>
      </c>
      <c r="J190">
        <f t="shared" si="4"/>
        <v>110.052</v>
      </c>
      <c r="K190" s="6">
        <f t="shared" si="5"/>
        <v>1.58265363981332</v>
      </c>
    </row>
    <row r="191" ht="30.75" spans="1:11">
      <c r="A191" s="2" t="s">
        <v>59</v>
      </c>
      <c r="B191" s="2" t="s">
        <v>53</v>
      </c>
      <c r="C191" s="2" t="s">
        <v>47</v>
      </c>
      <c r="D191" s="2" t="s">
        <v>54</v>
      </c>
      <c r="E191" s="3">
        <v>1184.25</v>
      </c>
      <c r="F191" s="3">
        <v>11</v>
      </c>
      <c r="G191" s="3">
        <v>0.2</v>
      </c>
      <c r="H191" s="4">
        <v>45742</v>
      </c>
      <c r="I191" s="3">
        <v>331.59</v>
      </c>
      <c r="J191">
        <f t="shared" si="4"/>
        <v>397.908</v>
      </c>
      <c r="K191" s="6">
        <f t="shared" si="5"/>
        <v>-0.35643656322567</v>
      </c>
    </row>
    <row r="192" ht="15.75" spans="1:11">
      <c r="A192" s="2" t="s">
        <v>52</v>
      </c>
      <c r="B192" s="2" t="s">
        <v>37</v>
      </c>
      <c r="C192" s="2" t="s">
        <v>47</v>
      </c>
      <c r="D192" s="2" t="s">
        <v>42</v>
      </c>
      <c r="E192" s="3">
        <v>762.14</v>
      </c>
      <c r="F192" s="3">
        <v>9</v>
      </c>
      <c r="G192" s="3">
        <v>0</v>
      </c>
      <c r="H192" s="4">
        <v>45743</v>
      </c>
      <c r="I192" s="3">
        <v>381.07</v>
      </c>
      <c r="J192">
        <f t="shared" si="4"/>
        <v>381.07</v>
      </c>
      <c r="K192" s="6">
        <f t="shared" si="5"/>
        <v>-0.0149972446007295</v>
      </c>
    </row>
    <row r="193" ht="15.75" spans="1:11">
      <c r="A193" s="2" t="s">
        <v>49</v>
      </c>
      <c r="B193" s="2" t="s">
        <v>80</v>
      </c>
      <c r="C193" s="2" t="s">
        <v>51</v>
      </c>
      <c r="D193" s="2" t="s">
        <v>39</v>
      </c>
      <c r="E193" s="3">
        <v>750.71</v>
      </c>
      <c r="F193" s="3">
        <v>10</v>
      </c>
      <c r="G193" s="3">
        <v>0.15</v>
      </c>
      <c r="H193" s="4">
        <v>45743</v>
      </c>
      <c r="I193" s="3">
        <v>255.24</v>
      </c>
      <c r="J193">
        <f t="shared" si="4"/>
        <v>293.526</v>
      </c>
      <c r="K193" s="6">
        <f t="shared" si="5"/>
        <v>0.940749423878728</v>
      </c>
    </row>
    <row r="194" ht="15.75" spans="1:11">
      <c r="A194" s="2" t="s">
        <v>102</v>
      </c>
      <c r="B194" s="2" t="s">
        <v>98</v>
      </c>
      <c r="C194" s="2" t="s">
        <v>61</v>
      </c>
      <c r="D194" s="2" t="s">
        <v>42</v>
      </c>
      <c r="E194" s="3">
        <v>1456.94</v>
      </c>
      <c r="F194" s="3">
        <v>14</v>
      </c>
      <c r="G194" s="3">
        <v>0.05</v>
      </c>
      <c r="H194" s="4">
        <v>45745</v>
      </c>
      <c r="I194" s="3">
        <v>692.05</v>
      </c>
      <c r="J194">
        <f t="shared" si="4"/>
        <v>726.6525</v>
      </c>
      <c r="K194" s="6">
        <f t="shared" si="5"/>
        <v>-0.249536700207284</v>
      </c>
    </row>
    <row r="195" ht="15.75" spans="1:11">
      <c r="A195" s="2" t="s">
        <v>71</v>
      </c>
      <c r="B195" s="2" t="s">
        <v>88</v>
      </c>
      <c r="C195" s="2" t="s">
        <v>45</v>
      </c>
      <c r="D195" s="2" t="s">
        <v>54</v>
      </c>
      <c r="E195" s="3">
        <v>1093.38</v>
      </c>
      <c r="F195" s="3">
        <v>17</v>
      </c>
      <c r="G195" s="3">
        <v>0.1</v>
      </c>
      <c r="H195" s="4">
        <v>45745</v>
      </c>
      <c r="I195" s="3">
        <v>344.41</v>
      </c>
      <c r="J195">
        <f t="shared" ref="J195:J201" si="6">I195+(I195*G195)</f>
        <v>378.851</v>
      </c>
      <c r="K195" s="6">
        <f t="shared" ref="K195:K201" si="7">(E196-E195)/E195</f>
        <v>-0.145521227752474</v>
      </c>
    </row>
    <row r="196" ht="15.75" spans="1:11">
      <c r="A196" s="2" t="s">
        <v>64</v>
      </c>
      <c r="B196" s="2" t="s">
        <v>70</v>
      </c>
      <c r="C196" s="2" t="s">
        <v>38</v>
      </c>
      <c r="D196" s="2" t="s">
        <v>42</v>
      </c>
      <c r="E196" s="3">
        <v>934.27</v>
      </c>
      <c r="F196" s="3">
        <v>8</v>
      </c>
      <c r="G196" s="3">
        <v>0.15</v>
      </c>
      <c r="H196" s="4">
        <v>45746</v>
      </c>
      <c r="I196" s="3">
        <v>397.06</v>
      </c>
      <c r="J196">
        <f t="shared" si="6"/>
        <v>456.619</v>
      </c>
      <c r="K196" s="6">
        <f t="shared" si="7"/>
        <v>0.568443811746069</v>
      </c>
    </row>
    <row r="197" ht="15.75" spans="1:11">
      <c r="A197" s="2" t="s">
        <v>97</v>
      </c>
      <c r="B197" s="2" t="s">
        <v>63</v>
      </c>
      <c r="C197" s="2" t="s">
        <v>61</v>
      </c>
      <c r="D197" s="2" t="s">
        <v>42</v>
      </c>
      <c r="E197" s="3">
        <v>1465.35</v>
      </c>
      <c r="F197" s="3">
        <v>8</v>
      </c>
      <c r="G197" s="3">
        <v>0.2</v>
      </c>
      <c r="H197" s="4">
        <v>45746</v>
      </c>
      <c r="I197" s="3">
        <v>586.14</v>
      </c>
      <c r="J197">
        <f t="shared" si="6"/>
        <v>703.368</v>
      </c>
      <c r="K197" s="6">
        <f t="shared" si="7"/>
        <v>-0.494455249599072</v>
      </c>
    </row>
    <row r="198" ht="30.75" spans="1:11">
      <c r="A198" s="2" t="s">
        <v>79</v>
      </c>
      <c r="B198" s="2" t="s">
        <v>41</v>
      </c>
      <c r="C198" s="2" t="s">
        <v>47</v>
      </c>
      <c r="D198" s="2" t="s">
        <v>66</v>
      </c>
      <c r="E198" s="3">
        <v>740.8</v>
      </c>
      <c r="F198" s="3">
        <v>3</v>
      </c>
      <c r="G198" s="3">
        <v>0</v>
      </c>
      <c r="H198" s="4">
        <v>45749</v>
      </c>
      <c r="I198" s="3">
        <v>333.36</v>
      </c>
      <c r="J198">
        <f t="shared" si="6"/>
        <v>333.36</v>
      </c>
      <c r="K198" s="6">
        <f t="shared" si="7"/>
        <v>-0.263714902807775</v>
      </c>
    </row>
    <row r="199" ht="30.75" spans="1:11">
      <c r="A199" s="2" t="s">
        <v>85</v>
      </c>
      <c r="B199" s="2" t="s">
        <v>70</v>
      </c>
      <c r="C199" s="2" t="s">
        <v>38</v>
      </c>
      <c r="D199" s="2" t="s">
        <v>66</v>
      </c>
      <c r="E199" s="3">
        <v>545.44</v>
      </c>
      <c r="F199" s="3">
        <v>17</v>
      </c>
      <c r="G199" s="3">
        <v>0</v>
      </c>
      <c r="H199" s="4">
        <v>45752</v>
      </c>
      <c r="I199" s="3">
        <v>245.45</v>
      </c>
      <c r="J199">
        <f t="shared" si="6"/>
        <v>245.45</v>
      </c>
      <c r="K199" s="6">
        <f t="shared" si="7"/>
        <v>0.829000440011733</v>
      </c>
    </row>
    <row r="200" ht="15.75" spans="1:11">
      <c r="A200" s="2" t="s">
        <v>62</v>
      </c>
      <c r="B200" s="2" t="s">
        <v>63</v>
      </c>
      <c r="C200" s="2" t="s">
        <v>45</v>
      </c>
      <c r="D200" s="2" t="s">
        <v>39</v>
      </c>
      <c r="E200" s="3">
        <v>997.61</v>
      </c>
      <c r="F200" s="3">
        <v>8</v>
      </c>
      <c r="G200" s="3">
        <v>0.05</v>
      </c>
      <c r="H200" s="4">
        <v>45752</v>
      </c>
      <c r="I200" s="3">
        <v>379.09</v>
      </c>
      <c r="J200">
        <f t="shared" si="6"/>
        <v>398.0445</v>
      </c>
      <c r="K200" s="6">
        <f t="shared" si="7"/>
        <v>-0.0694559998396166</v>
      </c>
    </row>
    <row r="201" ht="15.75" spans="1:11">
      <c r="A201" s="2" t="s">
        <v>87</v>
      </c>
      <c r="B201" s="2" t="s">
        <v>63</v>
      </c>
      <c r="C201" s="2" t="s">
        <v>47</v>
      </c>
      <c r="D201" s="2" t="s">
        <v>42</v>
      </c>
      <c r="E201" s="3">
        <v>928.32</v>
      </c>
      <c r="F201" s="3">
        <v>2</v>
      </c>
      <c r="G201" s="3">
        <v>0.05</v>
      </c>
      <c r="H201" s="4">
        <v>45754</v>
      </c>
      <c r="I201" s="3">
        <v>440.95</v>
      </c>
      <c r="J201">
        <f t="shared" si="6"/>
        <v>462.9975</v>
      </c>
      <c r="K201" s="6">
        <f t="shared" si="7"/>
        <v>-1</v>
      </c>
    </row>
    <row r="202" spans="9:9">
      <c r="I202">
        <f>SUM(I2:I201)</f>
        <v>68287.01</v>
      </c>
    </row>
    <row r="213" spans="1:2">
      <c r="A213" t="s">
        <v>103</v>
      </c>
      <c r="B213" t="s">
        <v>104</v>
      </c>
    </row>
    <row r="214" spans="1:8">
      <c r="A214" t="s">
        <v>105</v>
      </c>
      <c r="B214" t="s">
        <v>39</v>
      </c>
      <c r="C214" t="s">
        <v>42</v>
      </c>
      <c r="D214" t="s">
        <v>48</v>
      </c>
      <c r="E214" t="s">
        <v>54</v>
      </c>
      <c r="F214" t="s">
        <v>66</v>
      </c>
      <c r="G214" t="s">
        <v>106</v>
      </c>
      <c r="H214" t="s">
        <v>107</v>
      </c>
    </row>
    <row r="215" spans="1:8">
      <c r="A215" s="8" t="s">
        <v>61</v>
      </c>
      <c r="B215" s="9">
        <v>11297.15</v>
      </c>
      <c r="C215" s="9">
        <v>12200.26</v>
      </c>
      <c r="D215" s="9">
        <v>6621.24</v>
      </c>
      <c r="E215" s="9">
        <v>4876.96</v>
      </c>
      <c r="F215" s="9">
        <v>8472.72</v>
      </c>
      <c r="G215" s="9"/>
      <c r="H215" s="9">
        <v>43468.33</v>
      </c>
    </row>
    <row r="216" spans="1:8">
      <c r="A216" s="8" t="s">
        <v>45</v>
      </c>
      <c r="B216" s="9">
        <v>11389.09</v>
      </c>
      <c r="C216" s="9">
        <v>2401.45</v>
      </c>
      <c r="D216" s="9">
        <v>2869.54</v>
      </c>
      <c r="E216" s="9">
        <v>7592.34</v>
      </c>
      <c r="F216" s="9">
        <v>8189.22</v>
      </c>
      <c r="G216" s="9"/>
      <c r="H216" s="9">
        <v>32441.64</v>
      </c>
    </row>
    <row r="217" spans="1:8">
      <c r="A217" s="8" t="s">
        <v>51</v>
      </c>
      <c r="B217" s="9">
        <v>8037.01</v>
      </c>
      <c r="C217" s="9">
        <v>8422.82</v>
      </c>
      <c r="D217" s="9">
        <v>8191.71</v>
      </c>
      <c r="E217" s="9">
        <v>6978.08</v>
      </c>
      <c r="F217" s="9">
        <v>3345.8</v>
      </c>
      <c r="G217" s="9"/>
      <c r="H217" s="9">
        <v>34975.42</v>
      </c>
    </row>
    <row r="218" spans="1:8">
      <c r="A218" s="8" t="s">
        <v>47</v>
      </c>
      <c r="B218" s="9">
        <v>9588.04</v>
      </c>
      <c r="C218" s="9">
        <v>8393.63</v>
      </c>
      <c r="D218" s="9">
        <v>11989.07</v>
      </c>
      <c r="E218" s="9">
        <v>7982.73</v>
      </c>
      <c r="F218" s="9">
        <v>2295.32</v>
      </c>
      <c r="G218" s="9"/>
      <c r="H218" s="9">
        <v>40248.79</v>
      </c>
    </row>
    <row r="219" spans="1:8">
      <c r="A219" s="8" t="s">
        <v>38</v>
      </c>
      <c r="B219" s="9">
        <v>6691.17</v>
      </c>
      <c r="C219" s="9">
        <v>10509.24</v>
      </c>
      <c r="D219" s="9">
        <v>11372.44</v>
      </c>
      <c r="E219" s="9">
        <v>9182.78</v>
      </c>
      <c r="F219" s="9">
        <v>6327.76</v>
      </c>
      <c r="G219" s="9"/>
      <c r="H219" s="9">
        <v>44083.39</v>
      </c>
    </row>
    <row r="220" spans="1:8">
      <c r="A220" s="8" t="s">
        <v>106</v>
      </c>
      <c r="B220" s="9"/>
      <c r="C220" s="9"/>
      <c r="D220" s="9"/>
      <c r="E220" s="9"/>
      <c r="F220" s="9"/>
      <c r="G220" s="9"/>
      <c r="H220" s="9"/>
    </row>
    <row r="221" spans="1:8">
      <c r="A221" s="8" t="s">
        <v>107</v>
      </c>
      <c r="B221" s="9">
        <v>47002.46</v>
      </c>
      <c r="C221" s="9">
        <v>41927.4</v>
      </c>
      <c r="D221" s="9">
        <v>41044</v>
      </c>
      <c r="E221" s="9">
        <v>36612.89</v>
      </c>
      <c r="F221" s="9">
        <v>28630.82</v>
      </c>
      <c r="G221" s="9"/>
      <c r="H221" s="9">
        <v>195217.57</v>
      </c>
    </row>
  </sheetData>
  <sortState ref="A2:K202">
    <sortCondition ref="I2"/>
  </sortState>
  <conditionalFormatting sqref="I2:I202">
    <cfRule type="top10" dxfId="0" priority="1" rank="10"/>
  </conditionalFormatting>
  <pageMargins left="0.7" right="0.7" top="0.75" bottom="0.75" header="0.3" footer="0.3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2025-11-30T15:54:00Z</dcterms:created>
  <dcterms:modified xsi:type="dcterms:W3CDTF">2025-12-03T07:47:32Z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B88A7A83660C4F7F9CAA395E17046578_13</vt:lpwstr>
  </property>
  <property fmtid="{D5CDD505-2E9C-101B-9397-08002B2CF9AE}" pid="3" name="KSOProductBuildVer">
    <vt:lpwstr>1033-12.2.0.23155</vt:lpwstr>
  </property>
</Properties>
</file>