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excel\"/>
    </mc:Choice>
  </mc:AlternateContent>
  <bookViews>
    <workbookView xWindow="0" yWindow="0" windowWidth="28800" windowHeight="12180" firstSheet="1" activeTab="1"/>
  </bookViews>
  <sheets>
    <sheet name="Scenario Summary" sheetId="2" r:id="rId1"/>
    <sheet name="Sheet1" sheetId="1" r:id="rId2"/>
  </sheets>
  <definedNames>
    <definedName name="Slicer_Region">#N/A</definedName>
  </definedNames>
  <calcPr calcId="162913"/>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1" l="1"/>
  <c r="L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3" i="1"/>
  <c r="K4" i="1"/>
  <c r="K5" i="1"/>
  <c r="K6" i="1"/>
  <c r="K7" i="1"/>
  <c r="K8" i="1"/>
  <c r="K9" i="1"/>
  <c r="K10" i="1"/>
  <c r="K11" i="1"/>
  <c r="K12" i="1"/>
  <c r="K13" i="1"/>
  <c r="K14" i="1"/>
  <c r="K15" i="1"/>
  <c r="K16" i="1"/>
  <c r="K17" i="1"/>
  <c r="K18" i="1"/>
  <c r="K19" i="1"/>
  <c r="K20" i="1"/>
  <c r="K21" i="1"/>
  <c r="K22" i="1"/>
  <c r="K2" i="1"/>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 r="I202" i="1"/>
</calcChain>
</file>

<file path=xl/sharedStrings.xml><?xml version="1.0" encoding="utf-8"?>
<sst xmlns="http://schemas.openxmlformats.org/spreadsheetml/2006/main" count="853" uniqueCount="108">
  <si>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</si>
  <si>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</si>
  <si>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</si>
  <si>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</si>
  <si>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</si>
  <si>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</si>
  <si>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</si>
  <si>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</si>
  <si>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</si>
  <si>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</si>
  <si>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</si>
  <si>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</si>
  <si>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</si>
  <si>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</si>
  <si>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</si>
  <si>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</si>
  <si>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</si>
  <si>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</si>
  <si>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</si>
  <si>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</si>
  <si>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</si>
  <si>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</si>
  <si>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</si>
  <si>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</si>
  <si>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</si>
  <si>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</si>
  <si>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</si>
  <si>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</si>
  <si>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</si>
  <si>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</si>
  <si>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</si>
  <si>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</si>
  <si>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</si>
  <si>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</si>
  <si>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</si>
  <si>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</si>
  <si>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</si>
  <si>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</si>
  <si>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</si>
  <si>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</si>
  <si>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</si>
  <si>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</si>
  <si>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</si>
  <si>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</si>
  <si>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</si>
  <si>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</si>
  <si>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</si>
  <si>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</si>
  <si>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</si>
  <si>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</si>
  <si>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</si>
  <si>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</si>
  <si>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</si>
  <si>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</si>
  <si>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</si>
  <si>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</si>
  <si>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</si>
  <si>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</si>
  <si>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</si>
  <si>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</si>
  <si>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</si>
  <si>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</si>
  <si>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</si>
  <si>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</si>
  <si>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</si>
  <si>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</si>
  <si>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</si>
  <si>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</si>
  <si>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</si>
  <si>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</si>
  <si>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</si>
  <si>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</si>
  <si>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</si>
  <si>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</si>
  <si>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</si>
  <si>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</si>
  <si>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$H$2</t>
  </si>
  <si>
    <t>$H$3</t>
  </si>
  <si>
    <t>$H$4</t>
  </si>
  <si>
    <t>$H$5</t>
  </si>
  <si>
    <t>$H$6</t>
  </si>
  <si>
    <t>$H$7</t>
  </si>
  <si>
    <t>$H$8</t>
  </si>
  <si>
    <t>$H$9</t>
  </si>
  <si>
    <t>$H$10</t>
  </si>
  <si>
    <t>$H$11</t>
  </si>
  <si>
    <t>$H$12</t>
  </si>
  <si>
    <t>$H$13</t>
  </si>
  <si>
    <t>$H$14</t>
  </si>
  <si>
    <t>$H$15</t>
  </si>
  <si>
    <t>$H$16</t>
  </si>
  <si>
    <t>$K$2</t>
  </si>
  <si>
    <t>Created by hp on 01-12-2025</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</si>
  <si>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</si>
  <si>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</si>
  <si>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</si>
  <si>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</si>
  <si>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</si>
  <si>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</si>
  <si>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</si>
  <si>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Total Pfrofit</t>
  </si>
  <si>
    <t>up/down</t>
  </si>
  <si>
    <t>time</t>
  </si>
  <si>
    <t>Row Labels</t>
  </si>
  <si>
    <t>(blank)</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</si>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</sst>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reen]\▲\ 0%;[Red]\▼\ 0%;0%"/>
  </numFmts>
  <fonts count="7" x14ac:knownFonts="1">
    <font>
      <sz val="11"/>
      <color theme="1"/>
      <name val="Calibri"/>
      <family val="2"/>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rgb="FFCCCCCC"/>
      </left>
      <right style="medium">
        <color rgb="FFCCCCCC"/>
      </right>
      <top/>
      <bottom/>
      <diagonal/>
    </border>
  </borders>
  <cellStyleXfs count="1">
    <xf numFmtId="0" fontId="0" fillId="0" borderId="0"/>
  </cellStyleXfs>
  <cellXfs count="23">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0" xfId="0" applyFill="1" applyBorder="1" applyAlignment="1"/>
    <xf numFmtId="0" fontId="0" fillId="0" borderId="3" xfId="0" applyFill="1" applyBorder="1" applyAlignment="1"/>
    <xf numFmtId="0" fontId="2" fillId="2" borderId="4" xfId="0" applyFont="1" applyFill="1" applyBorder="1" applyAlignment="1">
      <alignment horizontal="left"/>
    </xf>
    <xf numFmtId="0" fontId="2" fillId="2" borderId="2" xfId="0" applyFont="1" applyFill="1" applyBorder="1" applyAlignment="1">
      <alignment horizontal="left"/>
    </xf>
    <xf numFmtId="0" fontId="0" fillId="0" borderId="5" xfId="0" applyFill="1" applyBorder="1" applyAlignment="1"/>
    <xf numFmtId="0" fontId="3" fillId="3" borderId="0" xfId="0" applyFont="1" applyFill="1" applyBorder="1" applyAlignment="1">
      <alignment horizontal="left"/>
    </xf>
    <xf numFmtId="0" fontId="4" fillId="3" borderId="5" xfId="0" applyFont="1" applyFill="1" applyBorder="1" applyAlignment="1">
      <alignment horizontal="left"/>
    </xf>
    <xf numFmtId="0" fontId="3" fillId="3" borderId="3" xfId="0" applyFont="1" applyFill="1" applyBorder="1" applyAlignment="1">
      <alignment horizontal="left"/>
    </xf>
    <xf numFmtId="0" fontId="5" fillId="2" borderId="2" xfId="0" applyFont="1" applyFill="1" applyBorder="1" applyAlignment="1">
      <alignment horizontal="right"/>
    </xf>
    <xf numFmtId="0" fontId="5" fillId="2" borderId="4" xfId="0" applyFont="1" applyFill="1" applyBorder="1" applyAlignment="1">
      <alignment horizontal="right"/>
    </xf>
    <xf numFmtId="0" fontId="0" fillId="4" borderId="0" xfId="0" applyFill="1" applyBorder="1" applyAlignment="1"/>
    <xf numFmtId="0" fontId="6" fillId="0" borderId="0" xfId="0" applyFont="1" applyFill="1" applyBorder="1" applyAlignment="1">
      <alignment vertical="top" wrapText="1"/>
    </xf>
    <xf numFmtId="0" fontId="1" fillId="0" borderId="6" xfId="0" applyFont="1" applyFill="1" applyBorder="1" applyAlignment="1">
      <alignment wrapText="1"/>
    </xf>
    <xf numFmtId="16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Sheet1!$B$213:$B$214</c:f>
              <c:strCache>
                <c:ptCount val="1"/>
                <c:pt idx="0">
                  <c:v>Books</c:v>
                </c:pt>
              </c:strCache>
            </c:strRef>
          </c:tx>
          <c:spPr>
            <a:solidFill>
              <a:schemeClr val="accent1"/>
            </a:solidFill>
            <a:ln>
              <a:noFill/>
            </a:ln>
            <a:effectLst/>
          </c:spPr>
          <c:invertIfNegative val="0"/>
          <c:cat>
            <c:strRef>
              <c:f>Sheet1!$A$215:$A$221</c:f>
              <c:strCache>
                <c:ptCount val="6"/>
                <c:pt idx="0">
                  <c:v>Central</c:v>
                </c:pt>
                <c:pt idx="1">
                  <c:v>East</c:v>
                </c:pt>
                <c:pt idx="2">
                  <c:v>North</c:v>
                </c:pt>
                <c:pt idx="3">
                  <c:v>South</c:v>
                </c:pt>
                <c:pt idx="4">
                  <c:v>West</c:v>
                </c:pt>
                <c:pt idx="5">
                  <c:v>(blank)</c:v>
                </c:pt>
              </c:strCache>
            </c:strRef>
          </c:cat>
          <c:val>
            <c:numRef>
              <c:f>Sheet1!$B$215:$B$221</c:f>
              <c:numCache>
                <c:formatCode>General</c:formatCode>
                <c:ptCount val="6"/>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ED06-4641-9E01-30EB2E64F99E}"/>
            </c:ext>
          </c:extLst>
        </c:ser>
        <c:ser>
          <c:idx val="1"/>
          <c:order val="1"/>
          <c:tx>
            <c:strRef>
              <c:f>Sheet1!$C$213:$C$214</c:f>
              <c:strCache>
                <c:ptCount val="1"/>
                <c:pt idx="0">
                  <c:v>Clothing</c:v>
                </c:pt>
              </c:strCache>
            </c:strRef>
          </c:tx>
          <c:spPr>
            <a:solidFill>
              <a:schemeClr val="accent2"/>
            </a:solidFill>
            <a:ln>
              <a:noFill/>
            </a:ln>
            <a:effectLst/>
          </c:spPr>
          <c:invertIfNegative val="0"/>
          <c:cat>
            <c:strRef>
              <c:f>Sheet1!$A$215:$A$221</c:f>
              <c:strCache>
                <c:ptCount val="6"/>
                <c:pt idx="0">
                  <c:v>Central</c:v>
                </c:pt>
                <c:pt idx="1">
                  <c:v>East</c:v>
                </c:pt>
                <c:pt idx="2">
                  <c:v>North</c:v>
                </c:pt>
                <c:pt idx="3">
                  <c:v>South</c:v>
                </c:pt>
                <c:pt idx="4">
                  <c:v>West</c:v>
                </c:pt>
                <c:pt idx="5">
                  <c:v>(blank)</c:v>
                </c:pt>
              </c:strCache>
            </c:strRef>
          </c:cat>
          <c:val>
            <c:numRef>
              <c:f>Sheet1!$C$215:$C$221</c:f>
              <c:numCache>
                <c:formatCode>General</c:formatCode>
                <c:ptCount val="6"/>
                <c:pt idx="0">
                  <c:v>12200.26</c:v>
                </c:pt>
                <c:pt idx="1">
                  <c:v>2401.4499999999998</c:v>
                </c:pt>
                <c:pt idx="2">
                  <c:v>8422.82</c:v>
                </c:pt>
                <c:pt idx="3">
                  <c:v>8393.630000000001</c:v>
                </c:pt>
                <c:pt idx="4">
                  <c:v>10509.24</c:v>
                </c:pt>
              </c:numCache>
            </c:numRef>
          </c:val>
          <c:extLst>
            <c:ext xmlns:c16="http://schemas.microsoft.com/office/drawing/2014/chart" uri="{C3380CC4-5D6E-409C-BE32-E72D297353CC}">
              <c16:uniqueId val="{00000001-ED06-4641-9E01-30EB2E64F99E}"/>
            </c:ext>
          </c:extLst>
        </c:ser>
        <c:ser>
          <c:idx val="2"/>
          <c:order val="2"/>
          <c:tx>
            <c:strRef>
              <c:f>Sheet1!$D$213:$D$214</c:f>
              <c:strCache>
                <c:ptCount val="1"/>
                <c:pt idx="0">
                  <c:v>Electronics</c:v>
                </c:pt>
              </c:strCache>
            </c:strRef>
          </c:tx>
          <c:spPr>
            <a:solidFill>
              <a:schemeClr val="accent3"/>
            </a:solidFill>
            <a:ln>
              <a:noFill/>
            </a:ln>
            <a:effectLst/>
          </c:spPr>
          <c:invertIfNegative val="0"/>
          <c:cat>
            <c:strRef>
              <c:f>Sheet1!$A$215:$A$221</c:f>
              <c:strCache>
                <c:ptCount val="6"/>
                <c:pt idx="0">
                  <c:v>Central</c:v>
                </c:pt>
                <c:pt idx="1">
                  <c:v>East</c:v>
                </c:pt>
                <c:pt idx="2">
                  <c:v>North</c:v>
                </c:pt>
                <c:pt idx="3">
                  <c:v>South</c:v>
                </c:pt>
                <c:pt idx="4">
                  <c:v>West</c:v>
                </c:pt>
                <c:pt idx="5">
                  <c:v>(blank)</c:v>
                </c:pt>
              </c:strCache>
            </c:strRef>
          </c:cat>
          <c:val>
            <c:numRef>
              <c:f>Sheet1!$D$215:$D$221</c:f>
              <c:numCache>
                <c:formatCode>General</c:formatCode>
                <c:ptCount val="6"/>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ED06-4641-9E01-30EB2E64F99E}"/>
            </c:ext>
          </c:extLst>
        </c:ser>
        <c:ser>
          <c:idx val="3"/>
          <c:order val="3"/>
          <c:tx>
            <c:strRef>
              <c:f>Sheet1!$E$213:$E$214</c:f>
              <c:strCache>
                <c:ptCount val="1"/>
                <c:pt idx="0">
                  <c:v>Furniture</c:v>
                </c:pt>
              </c:strCache>
            </c:strRef>
          </c:tx>
          <c:spPr>
            <a:solidFill>
              <a:schemeClr val="accent4"/>
            </a:solidFill>
            <a:ln>
              <a:noFill/>
            </a:ln>
            <a:effectLst/>
          </c:spPr>
          <c:invertIfNegative val="0"/>
          <c:cat>
            <c:strRef>
              <c:f>Sheet1!$A$215:$A$221</c:f>
              <c:strCache>
                <c:ptCount val="6"/>
                <c:pt idx="0">
                  <c:v>Central</c:v>
                </c:pt>
                <c:pt idx="1">
                  <c:v>East</c:v>
                </c:pt>
                <c:pt idx="2">
                  <c:v>North</c:v>
                </c:pt>
                <c:pt idx="3">
                  <c:v>South</c:v>
                </c:pt>
                <c:pt idx="4">
                  <c:v>West</c:v>
                </c:pt>
                <c:pt idx="5">
                  <c:v>(blank)</c:v>
                </c:pt>
              </c:strCache>
            </c:strRef>
          </c:cat>
          <c:val>
            <c:numRef>
              <c:f>Sheet1!$E$215:$E$221</c:f>
              <c:numCache>
                <c:formatCode>General</c:formatCode>
                <c:ptCount val="6"/>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ED06-4641-9E01-30EB2E64F99E}"/>
            </c:ext>
          </c:extLst>
        </c:ser>
        <c:ser>
          <c:idx val="4"/>
          <c:order val="4"/>
          <c:tx>
            <c:strRef>
              <c:f>Sheet1!$F$213:$F$214</c:f>
              <c:strCache>
                <c:ptCount val="1"/>
                <c:pt idx="0">
                  <c:v>Office Supplies</c:v>
                </c:pt>
              </c:strCache>
            </c:strRef>
          </c:tx>
          <c:spPr>
            <a:solidFill>
              <a:schemeClr val="accent5"/>
            </a:solidFill>
            <a:ln>
              <a:noFill/>
            </a:ln>
            <a:effectLst/>
          </c:spPr>
          <c:invertIfNegative val="0"/>
          <c:cat>
            <c:strRef>
              <c:f>Sheet1!$A$215:$A$221</c:f>
              <c:strCache>
                <c:ptCount val="6"/>
                <c:pt idx="0">
                  <c:v>Central</c:v>
                </c:pt>
                <c:pt idx="1">
                  <c:v>East</c:v>
                </c:pt>
                <c:pt idx="2">
                  <c:v>North</c:v>
                </c:pt>
                <c:pt idx="3">
                  <c:v>South</c:v>
                </c:pt>
                <c:pt idx="4">
                  <c:v>West</c:v>
                </c:pt>
                <c:pt idx="5">
                  <c:v>(blank)</c:v>
                </c:pt>
              </c:strCache>
            </c:strRef>
          </c:cat>
          <c:val>
            <c:numRef>
              <c:f>Sheet1!$F$215:$F$221</c:f>
              <c:numCache>
                <c:formatCode>General</c:formatCode>
                <c:ptCount val="6"/>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ED06-4641-9E01-30EB2E64F99E}"/>
            </c:ext>
          </c:extLst>
        </c:ser>
        <c:ser>
          <c:idx val="5"/>
          <c:order val="5"/>
          <c:tx>
            <c:strRef>
              <c:f>Sheet1!$G$213:$G$214</c:f>
              <c:strCache>
                <c:ptCount val="1"/>
                <c:pt idx="0">
                  <c:v>(blank)</c:v>
                </c:pt>
              </c:strCache>
            </c:strRef>
          </c:tx>
          <c:spPr>
            <a:solidFill>
              <a:schemeClr val="accent6"/>
            </a:solidFill>
            <a:ln>
              <a:noFill/>
            </a:ln>
            <a:effectLst/>
          </c:spPr>
          <c:invertIfNegative val="0"/>
          <c:cat>
            <c:strRef>
              <c:f>Sheet1!$A$215:$A$221</c:f>
              <c:strCache>
                <c:ptCount val="6"/>
                <c:pt idx="0">
                  <c:v>Central</c:v>
                </c:pt>
                <c:pt idx="1">
                  <c:v>East</c:v>
                </c:pt>
                <c:pt idx="2">
                  <c:v>North</c:v>
                </c:pt>
                <c:pt idx="3">
                  <c:v>South</c:v>
                </c:pt>
                <c:pt idx="4">
                  <c:v>West</c:v>
                </c:pt>
                <c:pt idx="5">
                  <c:v>(blank)</c:v>
                </c:pt>
              </c:strCache>
            </c:strRef>
          </c:cat>
          <c:val>
            <c:numRef>
              <c:f>Sheet1!$G$215:$G$221</c:f>
              <c:numCache>
                <c:formatCode>General</c:formatCode>
                <c:ptCount val="6"/>
              </c:numCache>
            </c:numRef>
          </c:val>
          <c:extLst>
            <c:ext xmlns:c16="http://schemas.microsoft.com/office/drawing/2014/chart" uri="{C3380CC4-5D6E-409C-BE32-E72D297353CC}">
              <c16:uniqueId val="{00000006-ED06-4641-9E01-30EB2E64F99E}"/>
            </c:ext>
          </c:extLst>
        </c:ser>
        <c:dLbls>
          <c:showLegendKey val="0"/>
          <c:showVal val="0"/>
          <c:showCatName val="0"/>
          <c:showSerName val="0"/>
          <c:showPercent val="0"/>
          <c:showBubbleSize val="0"/>
        </c:dLbls>
        <c:gapWidth val="182"/>
        <c:axId val="1189300448"/>
        <c:axId val="1189304608"/>
      </c:barChart>
      <c:catAx>
        <c:axId val="118930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04608"/>
        <c:crosses val="autoZero"/>
        <c:auto val="1"/>
        <c:lblAlgn val="ctr"/>
        <c:lblOffset val="100"/>
        <c:noMultiLvlLbl val="0"/>
      </c:catAx>
      <c:valAx>
        <c:axId val="118930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00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2.xlsx]Sheet1!PivotTable3</c:name>
    <c:fmtId val="2"/>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Sheet1!$B$213:$B$214</c:f>
              <c:strCache>
                <c:ptCount val="1"/>
                <c:pt idx="0">
                  <c:v>Books</c:v>
                </c:pt>
              </c:strCache>
            </c:strRef>
          </c:tx>
          <c:spPr>
            <a:ln w="28575" cap="rnd">
              <a:solidFill>
                <a:schemeClr val="accent1"/>
              </a:solidFill>
              <a:round/>
            </a:ln>
            <a:effectLst/>
          </c:spPr>
          <c:marker>
            <c:symbol val="none"/>
          </c:marker>
          <c:cat>
            <c:strRef>
              <c:f>Sheet1!$A$215:$A$221</c:f>
              <c:strCache>
                <c:ptCount val="6"/>
                <c:pt idx="0">
                  <c:v>Central</c:v>
                </c:pt>
                <c:pt idx="1">
                  <c:v>East</c:v>
                </c:pt>
                <c:pt idx="2">
                  <c:v>North</c:v>
                </c:pt>
                <c:pt idx="3">
                  <c:v>South</c:v>
                </c:pt>
                <c:pt idx="4">
                  <c:v>West</c:v>
                </c:pt>
                <c:pt idx="5">
                  <c:v>(blank)</c:v>
                </c:pt>
              </c:strCache>
            </c:strRef>
          </c:cat>
          <c:val>
            <c:numRef>
              <c:f>Sheet1!$B$215:$B$221</c:f>
              <c:numCache>
                <c:formatCode>General</c:formatCode>
                <c:ptCount val="6"/>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0F88-468F-99D9-A818FA132F57}"/>
            </c:ext>
          </c:extLst>
        </c:ser>
        <c:ser>
          <c:idx val="1"/>
          <c:order val="1"/>
          <c:tx>
            <c:strRef>
              <c:f>Sheet1!$C$213:$C$214</c:f>
              <c:strCache>
                <c:ptCount val="1"/>
                <c:pt idx="0">
                  <c:v>Clothing</c:v>
                </c:pt>
              </c:strCache>
            </c:strRef>
          </c:tx>
          <c:spPr>
            <a:ln w="28575" cap="rnd">
              <a:solidFill>
                <a:schemeClr val="accent2"/>
              </a:solidFill>
              <a:round/>
            </a:ln>
            <a:effectLst/>
          </c:spPr>
          <c:marker>
            <c:symbol val="none"/>
          </c:marker>
          <c:cat>
            <c:strRef>
              <c:f>Sheet1!$A$215:$A$221</c:f>
              <c:strCache>
                <c:ptCount val="6"/>
                <c:pt idx="0">
                  <c:v>Central</c:v>
                </c:pt>
                <c:pt idx="1">
                  <c:v>East</c:v>
                </c:pt>
                <c:pt idx="2">
                  <c:v>North</c:v>
                </c:pt>
                <c:pt idx="3">
                  <c:v>South</c:v>
                </c:pt>
                <c:pt idx="4">
                  <c:v>West</c:v>
                </c:pt>
                <c:pt idx="5">
                  <c:v>(blank)</c:v>
                </c:pt>
              </c:strCache>
            </c:strRef>
          </c:cat>
          <c:val>
            <c:numRef>
              <c:f>Sheet1!$C$215:$C$221</c:f>
              <c:numCache>
                <c:formatCode>General</c:formatCode>
                <c:ptCount val="6"/>
                <c:pt idx="0">
                  <c:v>12200.26</c:v>
                </c:pt>
                <c:pt idx="1">
                  <c:v>2401.4499999999998</c:v>
                </c:pt>
                <c:pt idx="2">
                  <c:v>8422.82</c:v>
                </c:pt>
                <c:pt idx="3">
                  <c:v>8393.630000000001</c:v>
                </c:pt>
                <c:pt idx="4">
                  <c:v>10509.24</c:v>
                </c:pt>
              </c:numCache>
            </c:numRef>
          </c:val>
          <c:smooth val="0"/>
          <c:extLst>
            <c:ext xmlns:c16="http://schemas.microsoft.com/office/drawing/2014/chart" uri="{C3380CC4-5D6E-409C-BE32-E72D297353CC}">
              <c16:uniqueId val="{00000001-0F88-468F-99D9-A818FA132F57}"/>
            </c:ext>
          </c:extLst>
        </c:ser>
        <c:ser>
          <c:idx val="2"/>
          <c:order val="2"/>
          <c:tx>
            <c:strRef>
              <c:f>Sheet1!$D$213:$D$214</c:f>
              <c:strCache>
                <c:ptCount val="1"/>
                <c:pt idx="0">
                  <c:v>Electronics</c:v>
                </c:pt>
              </c:strCache>
            </c:strRef>
          </c:tx>
          <c:spPr>
            <a:ln w="28575" cap="rnd">
              <a:solidFill>
                <a:schemeClr val="accent3"/>
              </a:solidFill>
              <a:round/>
            </a:ln>
            <a:effectLst/>
          </c:spPr>
          <c:marker>
            <c:symbol val="none"/>
          </c:marker>
          <c:cat>
            <c:strRef>
              <c:f>Sheet1!$A$215:$A$221</c:f>
              <c:strCache>
                <c:ptCount val="6"/>
                <c:pt idx="0">
                  <c:v>Central</c:v>
                </c:pt>
                <c:pt idx="1">
                  <c:v>East</c:v>
                </c:pt>
                <c:pt idx="2">
                  <c:v>North</c:v>
                </c:pt>
                <c:pt idx="3">
                  <c:v>South</c:v>
                </c:pt>
                <c:pt idx="4">
                  <c:v>West</c:v>
                </c:pt>
                <c:pt idx="5">
                  <c:v>(blank)</c:v>
                </c:pt>
              </c:strCache>
            </c:strRef>
          </c:cat>
          <c:val>
            <c:numRef>
              <c:f>Sheet1!$D$215:$D$221</c:f>
              <c:numCache>
                <c:formatCode>General</c:formatCode>
                <c:ptCount val="6"/>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0F88-468F-99D9-A818FA132F57}"/>
            </c:ext>
          </c:extLst>
        </c:ser>
        <c:ser>
          <c:idx val="3"/>
          <c:order val="3"/>
          <c:tx>
            <c:strRef>
              <c:f>Sheet1!$E$213:$E$214</c:f>
              <c:strCache>
                <c:ptCount val="1"/>
                <c:pt idx="0">
                  <c:v>Furniture</c:v>
                </c:pt>
              </c:strCache>
            </c:strRef>
          </c:tx>
          <c:spPr>
            <a:ln w="28575" cap="rnd">
              <a:solidFill>
                <a:schemeClr val="accent4"/>
              </a:solidFill>
              <a:round/>
            </a:ln>
            <a:effectLst/>
          </c:spPr>
          <c:marker>
            <c:symbol val="none"/>
          </c:marker>
          <c:cat>
            <c:strRef>
              <c:f>Sheet1!$A$215:$A$221</c:f>
              <c:strCache>
                <c:ptCount val="6"/>
                <c:pt idx="0">
                  <c:v>Central</c:v>
                </c:pt>
                <c:pt idx="1">
                  <c:v>East</c:v>
                </c:pt>
                <c:pt idx="2">
                  <c:v>North</c:v>
                </c:pt>
                <c:pt idx="3">
                  <c:v>South</c:v>
                </c:pt>
                <c:pt idx="4">
                  <c:v>West</c:v>
                </c:pt>
                <c:pt idx="5">
                  <c:v>(blank)</c:v>
                </c:pt>
              </c:strCache>
            </c:strRef>
          </c:cat>
          <c:val>
            <c:numRef>
              <c:f>Sheet1!$E$215:$E$221</c:f>
              <c:numCache>
                <c:formatCode>General</c:formatCode>
                <c:ptCount val="6"/>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3-0F88-468F-99D9-A818FA132F57}"/>
            </c:ext>
          </c:extLst>
        </c:ser>
        <c:ser>
          <c:idx val="4"/>
          <c:order val="4"/>
          <c:tx>
            <c:strRef>
              <c:f>Sheet1!$F$213:$F$214</c:f>
              <c:strCache>
                <c:ptCount val="1"/>
                <c:pt idx="0">
                  <c:v>Office Supplies</c:v>
                </c:pt>
              </c:strCache>
            </c:strRef>
          </c:tx>
          <c:spPr>
            <a:ln w="28575" cap="rnd">
              <a:solidFill>
                <a:schemeClr val="accent5"/>
              </a:solidFill>
              <a:round/>
            </a:ln>
            <a:effectLst/>
          </c:spPr>
          <c:marker>
            <c:symbol val="none"/>
          </c:marker>
          <c:cat>
            <c:strRef>
              <c:f>Sheet1!$A$215:$A$221</c:f>
              <c:strCache>
                <c:ptCount val="6"/>
                <c:pt idx="0">
                  <c:v>Central</c:v>
                </c:pt>
                <c:pt idx="1">
                  <c:v>East</c:v>
                </c:pt>
                <c:pt idx="2">
                  <c:v>North</c:v>
                </c:pt>
                <c:pt idx="3">
                  <c:v>South</c:v>
                </c:pt>
                <c:pt idx="4">
                  <c:v>West</c:v>
                </c:pt>
                <c:pt idx="5">
                  <c:v>(blank)</c:v>
                </c:pt>
              </c:strCache>
            </c:strRef>
          </c:cat>
          <c:val>
            <c:numRef>
              <c:f>Sheet1!$F$215:$F$221</c:f>
              <c:numCache>
                <c:formatCode>General</c:formatCode>
                <c:ptCount val="6"/>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4-0F88-468F-99D9-A818FA132F57}"/>
            </c:ext>
          </c:extLst>
        </c:ser>
        <c:ser>
          <c:idx val="5"/>
          <c:order val="5"/>
          <c:tx>
            <c:strRef>
              <c:f>Sheet1!$G$213:$G$214</c:f>
              <c:strCache>
                <c:ptCount val="1"/>
                <c:pt idx="0">
                  <c:v>(blank)</c:v>
                </c:pt>
              </c:strCache>
            </c:strRef>
          </c:tx>
          <c:spPr>
            <a:ln w="28575" cap="rnd">
              <a:solidFill>
                <a:schemeClr val="accent6"/>
              </a:solidFill>
              <a:round/>
            </a:ln>
            <a:effectLst/>
          </c:spPr>
          <c:marker>
            <c:symbol val="none"/>
          </c:marker>
          <c:cat>
            <c:strRef>
              <c:f>Sheet1!$A$215:$A$221</c:f>
              <c:strCache>
                <c:ptCount val="6"/>
                <c:pt idx="0">
                  <c:v>Central</c:v>
                </c:pt>
                <c:pt idx="1">
                  <c:v>East</c:v>
                </c:pt>
                <c:pt idx="2">
                  <c:v>North</c:v>
                </c:pt>
                <c:pt idx="3">
                  <c:v>South</c:v>
                </c:pt>
                <c:pt idx="4">
                  <c:v>West</c:v>
                </c:pt>
                <c:pt idx="5">
                  <c:v>(blank)</c:v>
                </c:pt>
              </c:strCache>
            </c:strRef>
          </c:cat>
          <c:val>
            <c:numRef>
              <c:f>Sheet1!$G$215:$G$221</c:f>
              <c:numCache>
                <c:formatCode>General</c:formatCode>
                <c:ptCount val="6"/>
              </c:numCache>
            </c:numRef>
          </c:val>
          <c:smooth val="0"/>
          <c:extLst>
            <c:ext xmlns:c16="http://schemas.microsoft.com/office/drawing/2014/chart" uri="{C3380CC4-5D6E-409C-BE32-E72D297353CC}">
              <c16:uniqueId val="{00000006-0F88-468F-99D9-A818FA132F57}"/>
            </c:ext>
          </c:extLst>
        </c:ser>
        <c:dLbls>
          <c:showLegendKey val="0"/>
          <c:showVal val="0"/>
          <c:showCatName val="0"/>
          <c:showSerName val="0"/>
          <c:showPercent val="0"/>
          <c:showBubbleSize val="0"/>
        </c:dLbls>
        <c:smooth val="0"/>
        <c:axId val="1286601856"/>
        <c:axId val="1286604768"/>
      </c:lineChart>
      <c:catAx>
        <c:axId val="12866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04768"/>
        <c:crosses val="autoZero"/>
        <c:auto val="1"/>
        <c:lblAlgn val="ctr"/>
        <c:lblOffset val="100"/>
        <c:noMultiLvlLbl val="0"/>
      </c:catAx>
      <c:valAx>
        <c:axId val="128660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601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2.xlsx]Sheet1!PivotTable3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Sheet1!$B$213:$B$214</c:f>
              <c:strCache>
                <c:ptCount val="1"/>
                <c:pt idx="0">
                  <c:v>Books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EB-4BA7-BE69-B6FD7BDCD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EB-4BA7-BE69-B6FD7BDCD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EB-4BA7-BE69-B6FD7BDCD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EB-4BA7-BE69-B6FD7BDCD9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EB-4BA7-BE69-B6FD7BDCD9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EB-4BA7-BE69-B6FD7BDCD9D4}"/>
              </c:ext>
            </c:extLst>
          </c:dPt>
          <c:cat>
            <c:strRef>
              <c:f>Sheet1!$A$215:$A$221</c:f>
              <c:strCache>
                <c:ptCount val="6"/>
                <c:pt idx="0">
                  <c:v>Central</c:v>
                </c:pt>
                <c:pt idx="1">
                  <c:v>East</c:v>
                </c:pt>
                <c:pt idx="2">
                  <c:v>North</c:v>
                </c:pt>
                <c:pt idx="3">
                  <c:v>South</c:v>
                </c:pt>
                <c:pt idx="4">
                  <c:v>West</c:v>
                </c:pt>
                <c:pt idx="5">
                  <c:v>(blank)</c:v>
                </c:pt>
              </c:strCache>
            </c:strRef>
          </c:cat>
          <c:val>
            <c:numRef>
              <c:f>Sheet1!$B$215:$B$221</c:f>
              <c:numCache>
                <c:formatCode>General</c:formatCode>
                <c:ptCount val="6"/>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E7F0-4F69-BF15-7C12FBBE644A}"/>
            </c:ext>
          </c:extLst>
        </c:ser>
        <c:ser>
          <c:idx val="1"/>
          <c:order val="1"/>
          <c:tx>
            <c:strRef>
              <c:f>Sheet1!$C$213:$C$214</c:f>
              <c:strCache>
                <c:ptCount val="1"/>
                <c:pt idx="0">
                  <c:v>Clothing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6DEB-4BA7-BE69-B6FD7BDCD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6DEB-4BA7-BE69-B6FD7BDCD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6DEB-4BA7-BE69-B6FD7BDCD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6DEB-4BA7-BE69-B6FD7BDCD9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6DEB-4BA7-BE69-B6FD7BDCD9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6DEB-4BA7-BE69-B6FD7BDCD9D4}"/>
              </c:ext>
            </c:extLst>
          </c:dPt>
          <c:cat>
            <c:strRef>
              <c:f>Sheet1!$A$215:$A$221</c:f>
              <c:strCache>
                <c:ptCount val="6"/>
                <c:pt idx="0">
                  <c:v>Central</c:v>
                </c:pt>
                <c:pt idx="1">
                  <c:v>East</c:v>
                </c:pt>
                <c:pt idx="2">
                  <c:v>North</c:v>
                </c:pt>
                <c:pt idx="3">
                  <c:v>South</c:v>
                </c:pt>
                <c:pt idx="4">
                  <c:v>West</c:v>
                </c:pt>
                <c:pt idx="5">
                  <c:v>(blank)</c:v>
                </c:pt>
              </c:strCache>
            </c:strRef>
          </c:cat>
          <c:val>
            <c:numRef>
              <c:f>Sheet1!$C$215:$C$221</c:f>
              <c:numCache>
                <c:formatCode>General</c:formatCode>
                <c:ptCount val="6"/>
                <c:pt idx="0">
                  <c:v>12200.26</c:v>
                </c:pt>
                <c:pt idx="1">
                  <c:v>2401.4499999999998</c:v>
                </c:pt>
                <c:pt idx="2">
                  <c:v>8422.82</c:v>
                </c:pt>
                <c:pt idx="3">
                  <c:v>8393.630000000001</c:v>
                </c:pt>
                <c:pt idx="4">
                  <c:v>10509.24</c:v>
                </c:pt>
              </c:numCache>
            </c:numRef>
          </c:val>
          <c:extLst>
            <c:ext xmlns:c16="http://schemas.microsoft.com/office/drawing/2014/chart" uri="{C3380CC4-5D6E-409C-BE32-E72D297353CC}">
              <c16:uniqueId val="{00000001-E7F0-4F69-BF15-7C12FBBE644A}"/>
            </c:ext>
          </c:extLst>
        </c:ser>
        <c:ser>
          <c:idx val="2"/>
          <c:order val="2"/>
          <c:tx>
            <c:strRef>
              <c:f>Sheet1!$D$213:$D$214</c:f>
              <c:strCache>
                <c:ptCount val="1"/>
                <c:pt idx="0">
                  <c:v>Electronics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6DEB-4BA7-BE69-B6FD7BDCD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6DEB-4BA7-BE69-B6FD7BDCD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6DEB-4BA7-BE69-B6FD7BDCD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6DEB-4BA7-BE69-B6FD7BDCD9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6DEB-4BA7-BE69-B6FD7BDCD9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6DEB-4BA7-BE69-B6FD7BDCD9D4}"/>
              </c:ext>
            </c:extLst>
          </c:dPt>
          <c:cat>
            <c:strRef>
              <c:f>Sheet1!$A$215:$A$221</c:f>
              <c:strCache>
                <c:ptCount val="6"/>
                <c:pt idx="0">
                  <c:v>Central</c:v>
                </c:pt>
                <c:pt idx="1">
                  <c:v>East</c:v>
                </c:pt>
                <c:pt idx="2">
                  <c:v>North</c:v>
                </c:pt>
                <c:pt idx="3">
                  <c:v>South</c:v>
                </c:pt>
                <c:pt idx="4">
                  <c:v>West</c:v>
                </c:pt>
                <c:pt idx="5">
                  <c:v>(blank)</c:v>
                </c:pt>
              </c:strCache>
            </c:strRef>
          </c:cat>
          <c:val>
            <c:numRef>
              <c:f>Sheet1!$D$215:$D$221</c:f>
              <c:numCache>
                <c:formatCode>General</c:formatCode>
                <c:ptCount val="6"/>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E7F0-4F69-BF15-7C12FBBE644A}"/>
            </c:ext>
          </c:extLst>
        </c:ser>
        <c:ser>
          <c:idx val="3"/>
          <c:order val="3"/>
          <c:tx>
            <c:strRef>
              <c:f>Sheet1!$E$213:$E$214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6DEB-4BA7-BE69-B6FD7BDCD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6DEB-4BA7-BE69-B6FD7BDCD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6DEB-4BA7-BE69-B6FD7BDCD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6DEB-4BA7-BE69-B6FD7BDCD9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6DEB-4BA7-BE69-B6FD7BDCD9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6DEB-4BA7-BE69-B6FD7BDCD9D4}"/>
              </c:ext>
            </c:extLst>
          </c:dPt>
          <c:cat>
            <c:strRef>
              <c:f>Sheet1!$A$215:$A$221</c:f>
              <c:strCache>
                <c:ptCount val="6"/>
                <c:pt idx="0">
                  <c:v>Central</c:v>
                </c:pt>
                <c:pt idx="1">
                  <c:v>East</c:v>
                </c:pt>
                <c:pt idx="2">
                  <c:v>North</c:v>
                </c:pt>
                <c:pt idx="3">
                  <c:v>South</c:v>
                </c:pt>
                <c:pt idx="4">
                  <c:v>West</c:v>
                </c:pt>
                <c:pt idx="5">
                  <c:v>(blank)</c:v>
                </c:pt>
              </c:strCache>
            </c:strRef>
          </c:cat>
          <c:val>
            <c:numRef>
              <c:f>Sheet1!$E$215:$E$221</c:f>
              <c:numCache>
                <c:formatCode>General</c:formatCode>
                <c:ptCount val="6"/>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E7F0-4F69-BF15-7C12FBBE644A}"/>
            </c:ext>
          </c:extLst>
        </c:ser>
        <c:ser>
          <c:idx val="4"/>
          <c:order val="4"/>
          <c:tx>
            <c:strRef>
              <c:f>Sheet1!$F$213:$F$214</c:f>
              <c:strCache>
                <c:ptCount val="1"/>
                <c:pt idx="0">
                  <c:v>Office Supplies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6DEB-4BA7-BE69-B6FD7BDCD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6DEB-4BA7-BE69-B6FD7BDCD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6DEB-4BA7-BE69-B6FD7BDCD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6DEB-4BA7-BE69-B6FD7BDCD9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6DEB-4BA7-BE69-B6FD7BDCD9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6DEB-4BA7-BE69-B6FD7BDCD9D4}"/>
              </c:ext>
            </c:extLst>
          </c:dPt>
          <c:cat>
            <c:strRef>
              <c:f>Sheet1!$A$215:$A$221</c:f>
              <c:strCache>
                <c:ptCount val="6"/>
                <c:pt idx="0">
                  <c:v>Central</c:v>
                </c:pt>
                <c:pt idx="1">
                  <c:v>East</c:v>
                </c:pt>
                <c:pt idx="2">
                  <c:v>North</c:v>
                </c:pt>
                <c:pt idx="3">
                  <c:v>South</c:v>
                </c:pt>
                <c:pt idx="4">
                  <c:v>West</c:v>
                </c:pt>
                <c:pt idx="5">
                  <c:v>(blank)</c:v>
                </c:pt>
              </c:strCache>
            </c:strRef>
          </c:cat>
          <c:val>
            <c:numRef>
              <c:f>Sheet1!$F$215:$F$221</c:f>
              <c:numCache>
                <c:formatCode>General</c:formatCode>
                <c:ptCount val="6"/>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E7F0-4F69-BF15-7C12FBBE644A}"/>
            </c:ext>
          </c:extLst>
        </c:ser>
        <c:ser>
          <c:idx val="5"/>
          <c:order val="5"/>
          <c:tx>
            <c:strRef>
              <c:f>Sheet1!$G$213:$G$214</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6DEB-4BA7-BE69-B6FD7BDCD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6DEB-4BA7-BE69-B6FD7BDCD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6DEB-4BA7-BE69-B6FD7BDCD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6DEB-4BA7-BE69-B6FD7BDCD9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6DEB-4BA7-BE69-B6FD7BDCD9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6DEB-4BA7-BE69-B6FD7BDCD9D4}"/>
              </c:ext>
            </c:extLst>
          </c:dPt>
          <c:cat>
            <c:strRef>
              <c:f>Sheet1!$A$215:$A$221</c:f>
              <c:strCache>
                <c:ptCount val="6"/>
                <c:pt idx="0">
                  <c:v>Central</c:v>
                </c:pt>
                <c:pt idx="1">
                  <c:v>East</c:v>
                </c:pt>
                <c:pt idx="2">
                  <c:v>North</c:v>
                </c:pt>
                <c:pt idx="3">
                  <c:v>South</c:v>
                </c:pt>
                <c:pt idx="4">
                  <c:v>West</c:v>
                </c:pt>
                <c:pt idx="5">
                  <c:v>(blank)</c:v>
                </c:pt>
              </c:strCache>
            </c:strRef>
          </c:cat>
          <c:val>
            <c:numRef>
              <c:f>Sheet1!$G$215:$G$221</c:f>
              <c:numCache>
                <c:formatCode>General</c:formatCode>
                <c:ptCount val="6"/>
              </c:numCache>
            </c:numRef>
          </c:val>
          <c:extLst>
            <c:ext xmlns:c16="http://schemas.microsoft.com/office/drawing/2014/chart" uri="{C3380CC4-5D6E-409C-BE32-E72D297353CC}">
              <c16:uniqueId val="{00000006-E7F0-4F69-BF15-7C12FBBE64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107358</xdr:colOff>
      <xdr:row>208</xdr:row>
      <xdr:rowOff>16790</xdr:rowOff>
    </xdr:from>
    <xdr:to>
      <xdr:col>14</xdr:col>
      <xdr:colOff>506117</xdr:colOff>
      <xdr:row>222</xdr:row>
      <xdr:rowOff>47786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605403</xdr:colOff>
      <xdr:row>208</xdr:row>
      <xdr:rowOff>16790</xdr:rowOff>
    </xdr:from>
    <xdr:to>
      <xdr:col>23</xdr:col>
      <xdr:colOff>419744</xdr:colOff>
      <xdr:row>222</xdr:row>
      <xdr:rowOff>47786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341446</xdr:colOff>
      <xdr:row>223</xdr:row>
      <xdr:rowOff>185656</xdr:rowOff>
    </xdr:from>
    <xdr:to>
      <xdr:col>11</xdr:col>
      <xdr:colOff>869357</xdr:colOff>
      <xdr:row>241</xdr:row>
      <xdr:rowOff>8072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8073</xdr:colOff>
      <xdr:row>226</xdr:row>
      <xdr:rowOff>129152</xdr:rowOff>
    </xdr:from>
    <xdr:to>
      <xdr:col>2</xdr:col>
      <xdr:colOff>468179</xdr:colOff>
      <xdr:row>238</xdr:row>
      <xdr:rowOff>96864</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7925" y="47027669"/>
              <a:ext cx="1549830" cy="229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3.522568518521" createdVersion="6" refreshedVersion="6" minRefreshableVersion="3" recordCount="201">
  <cacheSource type="worksheet">
    <worksheetSource ref="A1:L202" sheet="Sheet1"/>
  </cacheSource>
  <cacheFields count="12">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ount="201">
        <n v="1036.0899999999999"/>
        <n v="1101.0899999999999"/>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m/>
      </sharedItems>
    </cacheField>
    <cacheField name="Quantity" numFmtId="0">
      <sharedItems containsString="0" containsBlank="1" containsNumber="1" containsInteger="1" minValue="1" maxValue="19"/>
    </cacheField>
    <cacheField name="Discount" numFmtId="0">
      <sharedItems containsString="0" containsBlank="1" containsNumber="1" minValue="0" maxValue="11"/>
    </cacheField>
    <cacheField name="Order_Date" numFmtId="0">
      <sharedItems containsNonDate="0" containsDate="1" containsString="0" containsBlank="1" minDate="2024-04-10T00:00:00" maxDate="2025-04-08T00:00:00"/>
    </cacheField>
    <cacheField name="Profit" numFmtId="0">
      <sharedItems containsSemiMixedTypes="0" containsString="0" containsNumber="1" minValue="64.63" maxValue="68287.010000000009"/>
    </cacheField>
    <cacheField name="Total Pfrofit" numFmtId="0">
      <sharedItems containsString="0" containsBlank="1" containsNumber="1" minValue="64.63" maxValue="3424.08"/>
    </cacheField>
    <cacheField name="up/down" numFmtId="0">
      <sharedItems containsString="0" containsBlank="1" containsNumber="1" minValue="-1" maxValue="3.6941317550578319"/>
    </cacheField>
    <cacheField name="time" numFmtId="0">
      <sharedItems containsNonDate="0" containsDate="1" containsString="0" containsBlank="1" minDate="2025-12-02T12:31:57" maxDate="2025-12-02T12:31:5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1">
  <r>
    <s v="CUST019"/>
    <s v="James Davis"/>
    <x v="0"/>
    <x v="0"/>
    <x v="0"/>
    <n v="4"/>
    <n v="0.2"/>
    <d v="2024-04-10T00:00:00"/>
    <n v="331.55"/>
    <n v="397.86"/>
    <n v="6.273586271462904E-2"/>
    <d v="2025-12-02T12:31:57"/>
  </r>
  <r>
    <s v="CUST012"/>
    <s v="Robert Anderson"/>
    <x v="0"/>
    <x v="1"/>
    <x v="1"/>
    <n v="3"/>
    <n v="0.2"/>
    <d v="2024-04-11T00:00:00"/>
    <n v="440.51"/>
    <n v="528.61199999999997"/>
    <n v="-0.35215105032286181"/>
    <d v="2025-12-02T12:31:57"/>
  </r>
  <r>
    <s v="CUST017"/>
    <s v="James Taylor"/>
    <x v="1"/>
    <x v="0"/>
    <x v="2"/>
    <n v="17"/>
    <n v="11"/>
    <d v="2024-04-14T00:00:00"/>
    <n v="285.33999999999997"/>
    <n v="3424.08"/>
    <n v="6.6714329772618833E-2"/>
    <m/>
  </r>
  <r>
    <s v="CUST005"/>
    <s v="Robert Anderson"/>
    <x v="2"/>
    <x v="2"/>
    <x v="3"/>
    <n v="4"/>
    <n v="0.15"/>
    <d v="2024-04-14T00:00:00"/>
    <n v="161.69999999999999"/>
    <n v="185.95499999999998"/>
    <n v="0.1131115871367932"/>
    <m/>
  </r>
  <r>
    <s v="CUST030"/>
    <s v="James Wilson"/>
    <x v="3"/>
    <x v="0"/>
    <x v="4"/>
    <n v="12"/>
    <n v="0.29899999999999999"/>
    <d v="2024-04-15T00:00:00"/>
    <n v="271.04000000000002"/>
    <n v="352.08096"/>
    <n v="0.14007083825265643"/>
    <m/>
  </r>
  <r>
    <s v="CUST007"/>
    <s v="Michael Anderson"/>
    <x v="3"/>
    <x v="3"/>
    <x v="5"/>
    <n v="8"/>
    <n v="0.1"/>
    <d v="2024-04-16T00:00:00"/>
    <n v="304.18"/>
    <n v="334.59800000000001"/>
    <n v="0.36441116772296095"/>
    <m/>
  </r>
  <r>
    <s v="CUST001"/>
    <s v="Linda Wilson"/>
    <x v="0"/>
    <x v="2"/>
    <x v="6"/>
    <n v="12"/>
    <n v="0.05"/>
    <d v="2024-04-16T00:00:00"/>
    <n v="312.91000000000003"/>
    <n v="328.55550000000005"/>
    <n v="-0.18448156778213776"/>
    <m/>
  </r>
  <r>
    <s v="CUST026"/>
    <s v="Mary Davis"/>
    <x v="1"/>
    <x v="3"/>
    <x v="7"/>
    <n v="6"/>
    <n v="0.2"/>
    <d v="2024-04-19T00:00:00"/>
    <n v="300.85000000000002"/>
    <n v="361.02000000000004"/>
    <n v="-0.53322102990311504"/>
    <m/>
  </r>
  <r>
    <s v="CUST009"/>
    <s v="Linda Jackson"/>
    <x v="4"/>
    <x v="0"/>
    <x v="8"/>
    <n v="11"/>
    <n v="0.05"/>
    <d v="2024-04-19T00:00:00"/>
    <n v="190.59"/>
    <n v="200.11950000000002"/>
    <n v="0.47009211628185171"/>
    <m/>
  </r>
  <r>
    <s v="CUST010"/>
    <s v="David Thomas"/>
    <x v="4"/>
    <x v="1"/>
    <x v="9"/>
    <n v="2"/>
    <n v="0.05"/>
    <d v="2024-04-19T00:00:00"/>
    <n v="350.22"/>
    <n v="367.73100000000005"/>
    <n v="1.1331868549185553"/>
    <m/>
  </r>
  <r>
    <s v="CUST014"/>
    <s v="Emma Davis"/>
    <x v="0"/>
    <x v="4"/>
    <x v="10"/>
    <n v="6"/>
    <n v="0.05"/>
    <d v="2024-04-20T00:00:00"/>
    <n v="672.38"/>
    <n v="705.99900000000002"/>
    <n v="-0.14603705446268475"/>
    <m/>
  </r>
  <r>
    <s v="CUST014"/>
    <s v="David Thomas"/>
    <x v="4"/>
    <x v="0"/>
    <x v="11"/>
    <n v="14"/>
    <n v="0.15"/>
    <d v="2024-04-22T00:00:00"/>
    <n v="456.66"/>
    <n v="525.15899999999999"/>
    <n v="-0.11283345618071235"/>
    <m/>
  </r>
  <r>
    <s v="CUST007"/>
    <s v="Michael Anderson"/>
    <x v="4"/>
    <x v="0"/>
    <x v="12"/>
    <n v="14"/>
    <n v="0.05"/>
    <d v="2024-04-24T00:00:00"/>
    <n v="452.8"/>
    <n v="475.44"/>
    <n v="-0.30992463787576158"/>
    <m/>
  </r>
  <r>
    <s v="CUST023"/>
    <s v="Robert Anderson"/>
    <x v="0"/>
    <x v="3"/>
    <x v="13"/>
    <n v="7"/>
    <n v="0.05"/>
    <d v="2024-04-24T00:00:00"/>
    <n v="273.41000000000003"/>
    <n v="287.08050000000003"/>
    <n v="-0.36558106727635359"/>
    <m/>
  </r>
  <r>
    <s v="CUST029"/>
    <s v="David Smith"/>
    <x v="3"/>
    <x v="3"/>
    <x v="14"/>
    <n v="15"/>
    <n v="0.15"/>
    <d v="2024-04-27T00:00:00"/>
    <n v="155.19999999999999"/>
    <n v="178.48"/>
    <n v="1.8809975655107638"/>
    <m/>
  </r>
  <r>
    <s v="CUST005"/>
    <s v="Sarah Anderson"/>
    <x v="2"/>
    <x v="2"/>
    <x v="15"/>
    <n v="14"/>
    <n v="0.2"/>
    <d v="2024-04-28T00:00:00"/>
    <n v="300.58999999999997"/>
    <n v="360.70799999999997"/>
    <n v="-0.41608724291883187"/>
    <m/>
  </r>
  <r>
    <s v="CUST008"/>
    <s v="Robert Anderson"/>
    <x v="2"/>
    <x v="0"/>
    <x v="16"/>
    <n v="10"/>
    <n v="0.15"/>
    <d v="2024-04-29T00:00:00"/>
    <n v="298.38"/>
    <n v="343.137"/>
    <n v="-0.27448209849814259"/>
    <m/>
  </r>
  <r>
    <s v="CUST001"/>
    <s v="Lisa Thomas"/>
    <x v="0"/>
    <x v="0"/>
    <x v="17"/>
    <n v="4"/>
    <n v="0.2"/>
    <d v="2024-04-29T00:00:00"/>
    <n v="203.74"/>
    <n v="244.488"/>
    <n v="1.3655410711481075"/>
    <m/>
  </r>
  <r>
    <s v="CUST006"/>
    <s v="Mary Jackson"/>
    <x v="0"/>
    <x v="0"/>
    <x v="18"/>
    <n v="13"/>
    <n v="0.2"/>
    <d v="2024-04-30T00:00:00"/>
    <n v="481.96"/>
    <n v="578.35199999999998"/>
    <n v="-0.57173967891431077"/>
    <m/>
  </r>
  <r>
    <s v="CUST026"/>
    <s v="Mary Davis"/>
    <x v="4"/>
    <x v="2"/>
    <x v="19"/>
    <n v="4"/>
    <n v="0"/>
    <d v="2024-05-02T00:00:00"/>
    <n v="161.26"/>
    <n v="161.26"/>
    <n v="0.47793866856841644"/>
    <m/>
  </r>
  <r>
    <s v="CUST007"/>
    <s v="Lisa Davis"/>
    <x v="2"/>
    <x v="1"/>
    <x v="20"/>
    <n v="11"/>
    <n v="0"/>
    <d v="2024-05-03T00:00:00"/>
    <n v="476.65"/>
    <n v="476.65"/>
    <n v="-0.5924053288576524"/>
    <m/>
  </r>
  <r>
    <s v="CUST022"/>
    <s v="Robert Anderson"/>
    <x v="3"/>
    <x v="2"/>
    <x v="21"/>
    <n v="14"/>
    <n v="0.15"/>
    <d v="2024-05-04T00:00:00"/>
    <n v="82.57"/>
    <n v="94.955499999999986"/>
    <n v="0.9126261066501955"/>
    <m/>
  </r>
  <r>
    <s v="CUST019"/>
    <s v="Mary Davis"/>
    <x v="0"/>
    <x v="0"/>
    <x v="22"/>
    <n v="9"/>
    <n v="0"/>
    <d v="2024-05-04T00:00:00"/>
    <n v="297.27"/>
    <n v="297.27"/>
    <n v="-4.95176070078178E-2"/>
    <m/>
  </r>
  <r>
    <s v="CUST023"/>
    <s v="Mary Davis"/>
    <x v="4"/>
    <x v="2"/>
    <x v="23"/>
    <n v="6"/>
    <n v="0"/>
    <d v="2024-05-04T00:00:00"/>
    <n v="176.59"/>
    <n v="176.59"/>
    <n v="0.3099508756034372"/>
    <m/>
  </r>
  <r>
    <s v="CUST012"/>
    <s v="Mary Davis"/>
    <x v="4"/>
    <x v="4"/>
    <x v="24"/>
    <n v="8"/>
    <n v="0.1"/>
    <d v="2024-05-06T00:00:00"/>
    <n v="374.75"/>
    <n v="412.22500000000002"/>
    <n v="0.26781294917379034"/>
    <m/>
  </r>
  <r>
    <s v="CUST010"/>
    <s v="Linda Brown"/>
    <x v="2"/>
    <x v="2"/>
    <x v="25"/>
    <n v="18"/>
    <n v="0"/>
    <d v="2024-05-06T00:00:00"/>
    <n v="293.27999999999997"/>
    <n v="293.27999999999997"/>
    <n v="-0.42415098199672663"/>
    <m/>
  </r>
  <r>
    <s v="CUST030"/>
    <s v="John Brown"/>
    <x v="3"/>
    <x v="3"/>
    <x v="26"/>
    <n v="17"/>
    <n v="0"/>
    <d v="2024-05-08T00:00:00"/>
    <n v="236.44"/>
    <n v="236.44"/>
    <n v="0.3901323385735857"/>
    <m/>
  </r>
  <r>
    <s v="CUST007"/>
    <s v="Robert Anderson"/>
    <x v="4"/>
    <x v="0"/>
    <x v="27"/>
    <n v="2"/>
    <n v="0.05"/>
    <d v="2024-05-10T00:00:00"/>
    <n v="356.85"/>
    <n v="374.6925"/>
    <n v="4.7120084336964504E-2"/>
    <m/>
  </r>
  <r>
    <s v="CUST028"/>
    <s v="Linda Taylor"/>
    <x v="1"/>
    <x v="4"/>
    <x v="28"/>
    <n v="19"/>
    <n v="0.1"/>
    <d v="2024-05-14T00:00:00"/>
    <n v="398.25"/>
    <n v="438.07499999999999"/>
    <n v="-0.18521569345292574"/>
    <m/>
  </r>
  <r>
    <s v="CUST028"/>
    <s v="James Wilson"/>
    <x v="2"/>
    <x v="2"/>
    <x v="29"/>
    <n v="3"/>
    <n v="0.2"/>
    <d v="2024-05-14T00:00:00"/>
    <n v="160.24"/>
    <n v="192.28800000000001"/>
    <n v="0.81064889354850789"/>
    <m/>
  </r>
  <r>
    <s v="CUST025"/>
    <s v="David Brown"/>
    <x v="3"/>
    <x v="2"/>
    <x v="30"/>
    <n v="5"/>
    <n v="0.1"/>
    <d v="2024-05-15T00:00:00"/>
    <n v="326.41000000000003"/>
    <n v="359.05100000000004"/>
    <n v="-0.29468329300825113"/>
    <m/>
  </r>
  <r>
    <s v="CUST022"/>
    <s v="David Davis"/>
    <x v="4"/>
    <x v="0"/>
    <x v="31"/>
    <n v="18"/>
    <n v="0.05"/>
    <d v="2024-05-16T00:00:00"/>
    <n v="388.82"/>
    <n v="408.26099999999997"/>
    <n v="-0.16564537094047166"/>
    <m/>
  </r>
  <r>
    <s v="CUST001"/>
    <s v="Mary Jackson"/>
    <x v="0"/>
    <x v="3"/>
    <x v="32"/>
    <n v="5"/>
    <n v="0.15"/>
    <d v="2024-05-16T00:00:00"/>
    <n v="253.98"/>
    <n v="292.077"/>
    <n v="0.13373237126926857"/>
    <m/>
  </r>
  <r>
    <s v="CUST021"/>
    <s v="Sarah Anderson"/>
    <x v="2"/>
    <x v="2"/>
    <x v="33"/>
    <n v="10"/>
    <n v="0.1"/>
    <d v="2024-05-17T00:00:00"/>
    <n v="217.78"/>
    <n v="239.55799999999999"/>
    <n v="0.24074016675448667"/>
    <m/>
  </r>
  <r>
    <s v="CUST015"/>
    <s v="Linda Taylor"/>
    <x v="3"/>
    <x v="4"/>
    <x v="34"/>
    <n v="14"/>
    <n v="0.05"/>
    <d v="2024-05-17T00:00:00"/>
    <n v="513.38"/>
    <n v="539.04899999999998"/>
    <n v="-0.60664501623782163"/>
    <m/>
  </r>
  <r>
    <s v="CUST012"/>
    <s v="Michael Anderson"/>
    <x v="0"/>
    <x v="0"/>
    <x v="35"/>
    <n v="12"/>
    <n v="0.2"/>
    <d v="2024-05-17T00:00:00"/>
    <n v="151.16"/>
    <n v="181.392"/>
    <n v="0.78017697616325832"/>
    <m/>
  </r>
  <r>
    <s v="CUST019"/>
    <s v="David Brown"/>
    <x v="1"/>
    <x v="4"/>
    <x v="36"/>
    <n v="9"/>
    <n v="0.05"/>
    <d v="2024-05-17T00:00:00"/>
    <n v="359.49"/>
    <n v="377.46449999999999"/>
    <n v="0.67680635494458452"/>
    <m/>
  </r>
  <r>
    <s v="CUST028"/>
    <s v="Lisa Davis"/>
    <x v="4"/>
    <x v="3"/>
    <x v="37"/>
    <n v="11"/>
    <n v="0.05"/>
    <d v="2024-05-22T00:00:00"/>
    <n v="468.84"/>
    <n v="492.28199999999998"/>
    <n v="-0.4517325503879267"/>
    <m/>
  </r>
  <r>
    <s v="CUST008"/>
    <s v="Mary Wilson"/>
    <x v="4"/>
    <x v="3"/>
    <x v="38"/>
    <n v="13"/>
    <n v="0.15"/>
    <d v="2024-05-22T00:00:00"/>
    <n v="229.99"/>
    <n v="264.48849999999999"/>
    <n v="-0.24920772484445547"/>
    <m/>
  </r>
  <r>
    <s v="CUST016"/>
    <s v="Emma Wilson"/>
    <x v="1"/>
    <x v="0"/>
    <x v="39"/>
    <n v="19"/>
    <n v="0.15"/>
    <d v="2024-05-23T00:00:00"/>
    <n v="197.35"/>
    <n v="226.95249999999999"/>
    <n v="0.98337439484520117"/>
    <m/>
  </r>
  <r>
    <s v="CUST005"/>
    <s v="David Smith"/>
    <x v="2"/>
    <x v="0"/>
    <x v="40"/>
    <n v="15"/>
    <n v="0.1"/>
    <d v="2024-06-02T00:00:00"/>
    <n v="414.44"/>
    <n v="455.88400000000001"/>
    <n v="-0.10878119543784368"/>
    <m/>
  </r>
  <r>
    <s v="CUST028"/>
    <s v="James Wilson"/>
    <x v="4"/>
    <x v="4"/>
    <x v="41"/>
    <n v="5"/>
    <n v="0.2"/>
    <d v="2024-06-04T00:00:00"/>
    <n v="369.35"/>
    <n v="443.22"/>
    <n v="-0.45766974015088019"/>
    <m/>
  </r>
  <r>
    <s v="CUST023"/>
    <s v="David Davis"/>
    <x v="1"/>
    <x v="4"/>
    <x v="42"/>
    <n v="11"/>
    <n v="0.15"/>
    <d v="2024-06-04T00:00:00"/>
    <n v="212.83"/>
    <n v="244.75450000000001"/>
    <n v="0.51117860608892574"/>
    <m/>
  </r>
  <r>
    <s v="CUST021"/>
    <s v="James Wilson"/>
    <x v="4"/>
    <x v="0"/>
    <x v="43"/>
    <n v="19"/>
    <n v="0.1"/>
    <d v="2024-06-05T00:00:00"/>
    <n v="302.70999999999998"/>
    <n v="332.98099999999999"/>
    <n v="0.45953499435095435"/>
    <m/>
  </r>
  <r>
    <s v="CUST026"/>
    <s v="Emma Wilson"/>
    <x v="3"/>
    <x v="3"/>
    <x v="44"/>
    <n v="12"/>
    <n v="0.15"/>
    <d v="2024-06-05T00:00:00"/>
    <n v="365.11"/>
    <n v="419.87650000000002"/>
    <n v="-0.3019352210226115"/>
    <m/>
  </r>
  <r>
    <s v="CUST017"/>
    <s v="Linda Davis"/>
    <x v="4"/>
    <x v="2"/>
    <x v="45"/>
    <n v="2"/>
    <n v="0"/>
    <d v="2024-06-06T00:00:00"/>
    <n v="214.18"/>
    <n v="214.18"/>
    <n v="0.4303957044472978"/>
    <m/>
  </r>
  <r>
    <s v="CUST025"/>
    <s v="David Davis"/>
    <x v="4"/>
    <x v="4"/>
    <x v="46"/>
    <n v="8"/>
    <n v="0.15"/>
    <d v="2024-06-06T00:00:00"/>
    <n v="468.72"/>
    <n v="539.02800000000002"/>
    <n v="-0.18267206345579476"/>
    <m/>
  </r>
  <r>
    <s v="CUST011"/>
    <s v="Mary Davis"/>
    <x v="3"/>
    <x v="4"/>
    <x v="47"/>
    <n v="12"/>
    <n v="0"/>
    <d v="2024-06-07T00:00:00"/>
    <n v="450.71"/>
    <n v="450.71"/>
    <n v="0.18498956638078201"/>
    <m/>
  </r>
  <r>
    <s v="CUST021"/>
    <s v="Michael Anderson"/>
    <x v="1"/>
    <x v="3"/>
    <x v="48"/>
    <n v="19"/>
    <n v="0.2"/>
    <d v="2024-06-08T00:00:00"/>
    <n v="332.32"/>
    <n v="398.78399999999999"/>
    <n v="-0.34663184058642615"/>
    <m/>
  </r>
  <r>
    <s v="CUST008"/>
    <s v="John Brown"/>
    <x v="2"/>
    <x v="2"/>
    <x v="49"/>
    <n v="6"/>
    <n v="0.1"/>
    <d v="2024-06-14T00:00:00"/>
    <n v="174.48"/>
    <n v="191.928"/>
    <n v="0.3172609452575923"/>
    <m/>
  </r>
  <r>
    <s v="CUST007"/>
    <s v="Linda Jackson"/>
    <x v="2"/>
    <x v="2"/>
    <x v="50"/>
    <n v="6"/>
    <n v="0.05"/>
    <d v="2024-06-18T00:00:00"/>
    <n v="242.6"/>
    <n v="254.73"/>
    <n v="0.20083800796890741"/>
    <m/>
  </r>
  <r>
    <s v="CUST015"/>
    <s v="James Wilson"/>
    <x v="2"/>
    <x v="1"/>
    <x v="51"/>
    <n v="7"/>
    <n v="0.1"/>
    <d v="2024-06-20T00:00:00"/>
    <n v="551.98"/>
    <n v="607.178"/>
    <n v="-0.11388204986059239"/>
    <m/>
  </r>
  <r>
    <s v="CUST030"/>
    <s v="Sarah Davis"/>
    <x v="2"/>
    <x v="3"/>
    <x v="52"/>
    <n v="2"/>
    <n v="0"/>
    <d v="2024-06-21T00:00:00"/>
    <n v="380.43"/>
    <n v="380.43"/>
    <n v="-0.13251083326433172"/>
    <m/>
  </r>
  <r>
    <s v="CUST002"/>
    <s v="Lisa Davis"/>
    <x v="0"/>
    <x v="0"/>
    <x v="53"/>
    <n v="18"/>
    <n v="0.1"/>
    <d v="2024-06-23T00:00:00"/>
    <n v="339.44"/>
    <n v="373.38400000000001"/>
    <n v="-0.13161522961077529"/>
    <m/>
  </r>
  <r>
    <s v="CUST009"/>
    <s v="Emma Davis"/>
    <x v="3"/>
    <x v="2"/>
    <x v="54"/>
    <n v="15"/>
    <n v="0.15"/>
    <d v="2024-06-25T00:00:00"/>
    <n v="173.99"/>
    <n v="200.08850000000001"/>
    <n v="0.12242305813385444"/>
    <m/>
  </r>
  <r>
    <s v="CUST005"/>
    <s v="Robert Anderson"/>
    <x v="2"/>
    <x v="3"/>
    <x v="55"/>
    <n v="10"/>
    <n v="0.2"/>
    <d v="2024-06-25T00:00:00"/>
    <n v="257.33"/>
    <n v="308.79599999999999"/>
    <n v="5.8996344011142093E-2"/>
    <m/>
  </r>
  <r>
    <s v="CUST030"/>
    <s v="Emma Taylor"/>
    <x v="4"/>
    <x v="0"/>
    <x v="56"/>
    <n v="11"/>
    <n v="0"/>
    <d v="2024-06-27T00:00:00"/>
    <n v="389.3"/>
    <n v="389.3"/>
    <n v="-0.23801450794237919"/>
    <m/>
  </r>
  <r>
    <s v="CUST029"/>
    <s v="Sarah Davis"/>
    <x v="3"/>
    <x v="2"/>
    <x v="57"/>
    <n v="1"/>
    <n v="0.2"/>
    <d v="2024-06-28T00:00:00"/>
    <n v="148.32"/>
    <n v="177.98399999999998"/>
    <n v="0.68393090708054083"/>
    <m/>
  </r>
  <r>
    <s v="CUST003"/>
    <s v="Emma Davis"/>
    <x v="3"/>
    <x v="0"/>
    <x v="58"/>
    <n v="2"/>
    <n v="0.1"/>
    <d v="2024-06-30T00:00:00"/>
    <n v="449.58"/>
    <n v="494.53800000000001"/>
    <n v="8.9316314600983299E-2"/>
    <m/>
  </r>
  <r>
    <s v="CUST012"/>
    <s v="Mary Wilson"/>
    <x v="0"/>
    <x v="1"/>
    <x v="59"/>
    <n v="17"/>
    <n v="0"/>
    <d v="2024-06-30T00:00:00"/>
    <n v="680.18"/>
    <n v="680.18"/>
    <n v="1.6863183275015479E-2"/>
    <m/>
  </r>
  <r>
    <s v="CUST021"/>
    <s v="Mary Davis"/>
    <x v="1"/>
    <x v="0"/>
    <x v="60"/>
    <n v="8"/>
    <n v="0.1"/>
    <d v="2024-07-05T00:00:00"/>
    <n v="497.99"/>
    <n v="547.78899999999999"/>
    <n v="-0.64650473505385675"/>
    <m/>
  </r>
  <r>
    <s v="CUST010"/>
    <s v="David Brown"/>
    <x v="4"/>
    <x v="4"/>
    <x v="61"/>
    <n v="9"/>
    <n v="0"/>
    <d v="2024-07-06T00:00:00"/>
    <n v="220.05"/>
    <n v="220.05"/>
    <n v="0.90946645125667192"/>
    <m/>
  </r>
  <r>
    <s v="CUST026"/>
    <s v="Mary Davis"/>
    <x v="1"/>
    <x v="3"/>
    <x v="62"/>
    <n v="17"/>
    <n v="0.1"/>
    <d v="2024-07-08T00:00:00"/>
    <n v="294.12"/>
    <n v="323.53199999999998"/>
    <n v="7.6918957706354152E-2"/>
    <m/>
  </r>
  <r>
    <s v="CUST003"/>
    <s v="James Davis"/>
    <x v="0"/>
    <x v="2"/>
    <x v="63"/>
    <n v="17"/>
    <n v="0.2"/>
    <d v="2024-07-08T00:00:00"/>
    <n v="201.11"/>
    <n v="241.33200000000002"/>
    <n v="9.4049904030710119E-2"/>
    <m/>
  </r>
  <r>
    <s v="CUST029"/>
    <s v="Emma Wilson"/>
    <x v="2"/>
    <x v="2"/>
    <x v="64"/>
    <n v="5"/>
    <n v="0.05"/>
    <d v="2024-07-09T00:00:00"/>
    <n v="261.27"/>
    <n v="274.33349999999996"/>
    <n v="-5.9449140987182868E-2"/>
    <m/>
  </r>
  <r>
    <s v="CUST003"/>
    <s v="James Wilson"/>
    <x v="3"/>
    <x v="3"/>
    <x v="65"/>
    <n v="15"/>
    <n v="0.15"/>
    <d v="2024-07-14T00:00:00"/>
    <n v="307.82"/>
    <n v="353.99299999999999"/>
    <n v="-0.15295254663187396"/>
    <m/>
  </r>
  <r>
    <s v="CUST002"/>
    <s v="Mary Davis"/>
    <x v="2"/>
    <x v="0"/>
    <x v="66"/>
    <n v="12"/>
    <n v="0.05"/>
    <d v="2024-07-15T00:00:00"/>
    <n v="333.05"/>
    <n v="349.70249999999999"/>
    <n v="0.56467071334033114"/>
    <m/>
  </r>
  <r>
    <s v="CUST020"/>
    <s v="David Brown"/>
    <x v="0"/>
    <x v="3"/>
    <x v="67"/>
    <n v="5"/>
    <n v="0.05"/>
    <d v="2024-07-15T00:00:00"/>
    <n v="455.97"/>
    <n v="478.76850000000002"/>
    <n v="-0.25601236746539879"/>
    <m/>
  </r>
  <r>
    <s v="CUST021"/>
    <s v="Mary Jackson"/>
    <x v="3"/>
    <x v="2"/>
    <x v="68"/>
    <n v="11"/>
    <n v="0.05"/>
    <d v="2024-07-21T00:00:00"/>
    <n v="242.31"/>
    <n v="254.4255"/>
    <n v="-0.21117166212534064"/>
    <m/>
  </r>
  <r>
    <s v="CUST008"/>
    <s v="James Davis"/>
    <x v="4"/>
    <x v="4"/>
    <x v="69"/>
    <n v="1"/>
    <n v="0.05"/>
    <d v="2024-07-29T00:00:00"/>
    <n v="344.06"/>
    <n v="361.26299999999998"/>
    <n v="-0.24372212074899666"/>
    <m/>
  </r>
  <r>
    <s v="CUST030"/>
    <s v="David Brown"/>
    <x v="4"/>
    <x v="2"/>
    <x v="70"/>
    <n v="1"/>
    <n v="0.05"/>
    <d v="2024-07-30T00:00:00"/>
    <n v="144.56"/>
    <n v="151.78800000000001"/>
    <n v="0.61206584957118937"/>
    <m/>
  </r>
  <r>
    <s v="CUST020"/>
    <s v="Linda Moore"/>
    <x v="2"/>
    <x v="4"/>
    <x v="71"/>
    <n v="19"/>
    <n v="0"/>
    <d v="2024-07-31T00:00:00"/>
    <n v="441.54"/>
    <n v="441.54"/>
    <n v="-0.44988789237668164"/>
    <m/>
  </r>
  <r>
    <s v="CUST024"/>
    <s v="David Brown"/>
    <x v="1"/>
    <x v="2"/>
    <x v="72"/>
    <n v="10"/>
    <n v="0.15"/>
    <d v="2024-08-05T00:00:00"/>
    <n v="114.7"/>
    <n v="131.905"/>
    <n v="0.4903570039090725"/>
    <m/>
  </r>
  <r>
    <s v="CUST012"/>
    <s v="David Anderson"/>
    <x v="2"/>
    <x v="0"/>
    <x v="73"/>
    <n v="5"/>
    <n v="0.2"/>
    <d v="2024-08-05T00:00:00"/>
    <n v="257.42"/>
    <n v="308.904"/>
    <n v="0.8976940766983651"/>
    <m/>
  </r>
  <r>
    <s v="CUST024"/>
    <s v="Emma Davis"/>
    <x v="0"/>
    <x v="2"/>
    <x v="74"/>
    <n v="13"/>
    <n v="0.2"/>
    <d v="2024-08-08T00:00:00"/>
    <n v="305.32"/>
    <n v="366.38400000000001"/>
    <n v="-0.20394340364208041"/>
    <m/>
  </r>
  <r>
    <s v="CUST012"/>
    <s v="Linda Wilson"/>
    <x v="0"/>
    <x v="2"/>
    <x v="75"/>
    <n v="5"/>
    <n v="0.15"/>
    <d v="2024-08-09T00:00:00"/>
    <n v="258.24"/>
    <n v="296.976"/>
    <n v="3.79178118262758E-2"/>
    <m/>
  </r>
  <r>
    <s v="CUST005"/>
    <s v="Linda Taylor"/>
    <x v="4"/>
    <x v="3"/>
    <x v="76"/>
    <n v="3"/>
    <n v="0"/>
    <d v="2024-08-15T00:00:00"/>
    <n v="441.47"/>
    <n v="441.47"/>
    <n v="-0.589270141278323"/>
    <m/>
  </r>
  <r>
    <s v="CUST004"/>
    <s v="Lisa Thomas"/>
    <x v="3"/>
    <x v="3"/>
    <x v="77"/>
    <n v="7"/>
    <n v="0.05"/>
    <d v="2024-08-18T00:00:00"/>
    <n v="172.26"/>
    <n v="180.87299999999999"/>
    <n v="1.1451541297508054"/>
    <m/>
  </r>
  <r>
    <s v="CUST026"/>
    <s v="Linda Wilson"/>
    <x v="0"/>
    <x v="4"/>
    <x v="78"/>
    <n v="1"/>
    <n v="0"/>
    <d v="2024-08-19T00:00:00"/>
    <n v="500.1"/>
    <n v="500.1"/>
    <n v="0.16208361077618022"/>
    <m/>
  </r>
  <r>
    <s v="CUST030"/>
    <s v="Mary Davis"/>
    <x v="1"/>
    <x v="1"/>
    <x v="79"/>
    <n v="18"/>
    <n v="0.1"/>
    <d v="2024-08-22T00:00:00"/>
    <n v="581.16"/>
    <n v="639.27599999999995"/>
    <n v="-0.4736927687054287"/>
    <m/>
  </r>
  <r>
    <s v="CUST007"/>
    <s v="David Brown"/>
    <x v="3"/>
    <x v="0"/>
    <x v="80"/>
    <n v="19"/>
    <n v="0"/>
    <d v="2024-08-30T00:00:00"/>
    <n v="271.88"/>
    <n v="271.88"/>
    <n v="0.68261464448073439"/>
    <m/>
  </r>
  <r>
    <s v="CUST020"/>
    <s v="Linda Jackson"/>
    <x v="1"/>
    <x v="3"/>
    <x v="81"/>
    <n v="17"/>
    <n v="0"/>
    <d v="2024-08-30T00:00:00"/>
    <n v="400.29"/>
    <n v="400.29"/>
    <n v="-0.30918343257351205"/>
    <m/>
  </r>
  <r>
    <s v="CUST028"/>
    <s v="Linda Brown"/>
    <x v="4"/>
    <x v="2"/>
    <x v="82"/>
    <n v="7"/>
    <n v="0.1"/>
    <d v="2024-09-01T00:00:00"/>
    <n v="177.77"/>
    <n v="195.54700000000003"/>
    <n v="0.35515390846496558"/>
    <m/>
  </r>
  <r>
    <s v="CUST005"/>
    <s v="Lisa Davis"/>
    <x v="4"/>
    <x v="0"/>
    <x v="83"/>
    <n v="7"/>
    <n v="0.05"/>
    <d v="2024-09-01T00:00:00"/>
    <n v="406.86"/>
    <n v="427.20300000000003"/>
    <n v="9.1726753091493279E-2"/>
    <m/>
  </r>
  <r>
    <s v="CUST015"/>
    <s v="David Thomas"/>
    <x v="0"/>
    <x v="1"/>
    <x v="84"/>
    <n v="4"/>
    <n v="0.1"/>
    <d v="2024-09-09T00:00:00"/>
    <n v="526"/>
    <n v="578.6"/>
    <n v="0.14285347637502227"/>
    <m/>
  </r>
  <r>
    <s v="CUST003"/>
    <s v="James Davis"/>
    <x v="2"/>
    <x v="2"/>
    <x v="85"/>
    <n v="17"/>
    <n v="0"/>
    <d v="2024-09-09T00:00:00"/>
    <n v="333.97"/>
    <n v="333.97"/>
    <n v="-0.34596929341926974"/>
    <m/>
  </r>
  <r>
    <s v="CUST023"/>
    <s v="David Brown"/>
    <x v="1"/>
    <x v="3"/>
    <x v="86"/>
    <n v="9"/>
    <n v="0"/>
    <d v="2024-09-11T00:00:00"/>
    <n v="305.8"/>
    <n v="305.8"/>
    <n v="0.65271832436763189"/>
    <m/>
  </r>
  <r>
    <s v="CUST004"/>
    <s v="Sarah Davis"/>
    <x v="0"/>
    <x v="4"/>
    <x v="87"/>
    <n v="19"/>
    <n v="0"/>
    <d v="2024-09-12T00:00:00"/>
    <n v="649.79"/>
    <n v="649.79"/>
    <n v="-0.200591420933808"/>
    <m/>
  </r>
  <r>
    <s v="CUST023"/>
    <s v="James Wilson"/>
    <x v="1"/>
    <x v="4"/>
    <x v="88"/>
    <n v="11"/>
    <n v="0.15"/>
    <d v="2024-09-14T00:00:00"/>
    <n v="441.53"/>
    <n v="507.75949999999995"/>
    <n v="9.5431982188802236E-2"/>
    <m/>
  </r>
  <r>
    <s v="CUST022"/>
    <s v="Linda Brown"/>
    <x v="2"/>
    <x v="0"/>
    <x v="89"/>
    <n v="16"/>
    <n v="0.05"/>
    <d v="2024-09-14T00:00:00"/>
    <n v="480.51"/>
    <n v="504.53550000000001"/>
    <n v="-0.12885827487761869"/>
    <m/>
  </r>
  <r>
    <s v="CUST007"/>
    <s v="Emma Taylor"/>
    <x v="0"/>
    <x v="3"/>
    <x v="90"/>
    <n v="4"/>
    <n v="0.1"/>
    <d v="2024-09-16T00:00:00"/>
    <n v="346.99"/>
    <n v="381.68900000000002"/>
    <n v="-0.33935817711406652"/>
    <m/>
  </r>
  <r>
    <s v="CUST013"/>
    <s v="Robert Anderson"/>
    <x v="2"/>
    <x v="3"/>
    <x v="91"/>
    <n v="1"/>
    <n v="0.1"/>
    <d v="2024-09-17T00:00:00"/>
    <n v="229.23"/>
    <n v="252.15299999999999"/>
    <n v="0.20293240624957051"/>
    <m/>
  </r>
  <r>
    <s v="CUST027"/>
    <s v="Emma Davis"/>
    <x v="1"/>
    <x v="4"/>
    <x v="92"/>
    <n v="13"/>
    <n v="0.15"/>
    <d v="2024-09-17T00:00:00"/>
    <n v="334.84"/>
    <n v="385.06599999999997"/>
    <n v="0.32388252361750502"/>
    <m/>
  </r>
  <r>
    <s v="CUST003"/>
    <s v="James Wilson"/>
    <x v="0"/>
    <x v="2"/>
    <x v="93"/>
    <n v="19"/>
    <n v="0.2"/>
    <d v="2024-09-18T00:00:00"/>
    <n v="231.79"/>
    <n v="278.14800000000002"/>
    <n v="-0.16622085699000819"/>
    <m/>
  </r>
  <r>
    <s v="CUST018"/>
    <s v="Mary Jackson"/>
    <x v="2"/>
    <x v="0"/>
    <x v="94"/>
    <n v="2"/>
    <n v="0.15"/>
    <d v="2024-09-22T00:00:00"/>
    <n v="328.54"/>
    <n v="377.82100000000003"/>
    <n v="-5.0522612025250893E-2"/>
    <m/>
  </r>
  <r>
    <s v="CUST020"/>
    <s v="James Taylor"/>
    <x v="2"/>
    <x v="0"/>
    <x v="95"/>
    <n v="6"/>
    <n v="0"/>
    <d v="2024-09-23T00:00:00"/>
    <n v="366.99"/>
    <n v="366.99"/>
    <n v="0.27846928543401489"/>
    <m/>
  </r>
  <r>
    <s v="CUST029"/>
    <s v="Emma Wilson"/>
    <x v="0"/>
    <x v="3"/>
    <x v="96"/>
    <n v="7"/>
    <n v="0.15"/>
    <d v="2024-09-24T00:00:00"/>
    <n v="348.96"/>
    <n v="401.30399999999997"/>
    <n v="2.8005831351185374E-2"/>
    <m/>
  </r>
  <r>
    <s v="CUST021"/>
    <s v="James Wilson"/>
    <x v="3"/>
    <x v="1"/>
    <x v="97"/>
    <n v="11"/>
    <n v="0.1"/>
    <d v="2024-09-24T00:00:00"/>
    <n v="542.62"/>
    <n v="596.88200000000006"/>
    <n v="-0.31421771076943489"/>
    <m/>
  </r>
  <r>
    <s v="CUST017"/>
    <s v="Sarah Davis"/>
    <x v="0"/>
    <x v="4"/>
    <x v="98"/>
    <n v="10"/>
    <n v="0.2"/>
    <d v="2024-09-29T00:00:00"/>
    <n v="297.69"/>
    <n v="357.22800000000001"/>
    <n v="9.1011331067926068E-2"/>
    <m/>
  </r>
  <r>
    <s v="CUST003"/>
    <s v="James Wilson"/>
    <x v="4"/>
    <x v="1"/>
    <x v="99"/>
    <n v="12"/>
    <n v="0"/>
    <d v="2024-09-29T00:00:00"/>
    <n v="451.1"/>
    <n v="451.1"/>
    <n v="-0.35050266573559896"/>
    <m/>
  </r>
  <r>
    <s v="CUST027"/>
    <s v="Emma Davis"/>
    <x v="3"/>
    <x v="0"/>
    <x v="100"/>
    <n v="17"/>
    <n v="0.1"/>
    <d v="2024-09-30T00:00:00"/>
    <n v="210.95"/>
    <n v="232.04499999999999"/>
    <n v="0.6898305373995256"/>
    <m/>
  </r>
  <r>
    <s v="CUST016"/>
    <s v="Michael Anderson"/>
    <x v="3"/>
    <x v="1"/>
    <x v="101"/>
    <n v="8"/>
    <n v="0.1"/>
    <d v="2024-09-30T00:00:00"/>
    <n v="445.59"/>
    <n v="490.149"/>
    <n v="2.413678182974982E-2"/>
    <m/>
  </r>
  <r>
    <s v="CUST008"/>
    <s v="David Davis"/>
    <x v="4"/>
    <x v="2"/>
    <x v="102"/>
    <n v="13"/>
    <n v="0.2"/>
    <d v="2024-10-02T00:00:00"/>
    <n v="202.82"/>
    <n v="243.38399999999999"/>
    <n v="-8.7566192349791502E-2"/>
    <m/>
  </r>
  <r>
    <s v="CUST012"/>
    <s v="Lisa Davis"/>
    <x v="3"/>
    <x v="2"/>
    <x v="103"/>
    <n v="17"/>
    <n v="0"/>
    <d v="2024-10-05T00:00:00"/>
    <n v="231.32"/>
    <n v="231.32"/>
    <n v="0.39041813917798746"/>
    <m/>
  </r>
  <r>
    <s v="CUST025"/>
    <s v="Mary Jackson"/>
    <x v="1"/>
    <x v="3"/>
    <x v="104"/>
    <n v="8"/>
    <n v="0"/>
    <d v="2024-10-10T00:00:00"/>
    <n v="450.29"/>
    <n v="450.29"/>
    <n v="-0.25255336017535401"/>
    <m/>
  </r>
  <r>
    <s v="CUST014"/>
    <s v="Sarah Davis"/>
    <x v="2"/>
    <x v="0"/>
    <x v="105"/>
    <n v="8"/>
    <n v="0.2"/>
    <d v="2024-10-12T00:00:00"/>
    <n v="307.72000000000003"/>
    <n v="369.26400000000001"/>
    <n v="0.12429026018593634"/>
    <m/>
  </r>
  <r>
    <s v="CUST008"/>
    <s v="James Wilson"/>
    <x v="1"/>
    <x v="0"/>
    <x v="106"/>
    <n v="19"/>
    <n v="0.15"/>
    <d v="2024-10-12T00:00:00"/>
    <n v="367.59"/>
    <n v="422.72849999999994"/>
    <n v="0.77928852877518162"/>
    <m/>
  </r>
  <r>
    <s v="CUST015"/>
    <s v="James Wilson"/>
    <x v="0"/>
    <x v="1"/>
    <x v="107"/>
    <n v="9"/>
    <n v="0.2"/>
    <d v="2024-10-15T00:00:00"/>
    <n v="769.46"/>
    <n v="923.35200000000009"/>
    <n v="-0.62118565650894653"/>
    <m/>
  </r>
  <r>
    <s v="CUST025"/>
    <s v="Emma Taylor"/>
    <x v="4"/>
    <x v="1"/>
    <x v="108"/>
    <n v="14"/>
    <n v="0.1"/>
    <d v="2024-10-16T00:00:00"/>
    <n v="327.92"/>
    <n v="360.71199999999999"/>
    <n v="0.78656804490126397"/>
    <m/>
  </r>
  <r>
    <s v="CUST019"/>
    <s v="Linda Jackson"/>
    <x v="4"/>
    <x v="1"/>
    <x v="109"/>
    <n v="7"/>
    <n v="0.15"/>
    <d v="2024-10-16T00:00:00"/>
    <n v="553.29999999999995"/>
    <n v="636.29499999999996"/>
    <n v="-0.24710997088847761"/>
    <m/>
  </r>
  <r>
    <s v="CUST024"/>
    <s v="Emma Taylor"/>
    <x v="1"/>
    <x v="0"/>
    <x v="110"/>
    <n v="16"/>
    <n v="0.1"/>
    <d v="2024-10-17T00:00:00"/>
    <n v="352.86"/>
    <n v="388.14600000000002"/>
    <n v="-0.28832459344202077"/>
    <m/>
  </r>
  <r>
    <s v="CUST027"/>
    <s v="James Wilson"/>
    <x v="0"/>
    <x v="1"/>
    <x v="111"/>
    <n v="17"/>
    <n v="0.1"/>
    <d v="2024-10-19T00:00:00"/>
    <n v="313.91000000000003"/>
    <n v="345.30100000000004"/>
    <n v="0.71109709419843148"/>
    <m/>
  </r>
  <r>
    <s v="CUST006"/>
    <s v="David Anderson"/>
    <x v="0"/>
    <x v="3"/>
    <x v="112"/>
    <n v="1"/>
    <n v="0.15"/>
    <d v="2024-10-19T00:00:00"/>
    <n v="355.1"/>
    <n v="408.36500000000001"/>
    <n v="-0.35404361558633052"/>
    <m/>
  </r>
  <r>
    <s v="CUST009"/>
    <s v="Emma Davis"/>
    <x v="2"/>
    <x v="2"/>
    <x v="113"/>
    <n v="1"/>
    <n v="0"/>
    <d v="2024-10-20T00:00:00"/>
    <n v="192.76"/>
    <n v="192.76"/>
    <n v="-0.1425773650488962"/>
    <m/>
  </r>
  <r>
    <s v="CUST003"/>
    <s v="Linda Moore"/>
    <x v="3"/>
    <x v="1"/>
    <x v="114"/>
    <n v="1"/>
    <n v="0.2"/>
    <d v="2024-10-28T00:00:00"/>
    <n v="264.44"/>
    <n v="317.32799999999997"/>
    <n v="4.1961003796759912E-2"/>
    <m/>
  </r>
  <r>
    <s v="CUST012"/>
    <s v="David Brown"/>
    <x v="0"/>
    <x v="2"/>
    <x v="115"/>
    <n v="15"/>
    <n v="0"/>
    <d v="2024-10-30T00:00:00"/>
    <n v="172.21"/>
    <n v="172.21"/>
    <n v="0.81336469085260488"/>
    <m/>
  </r>
  <r>
    <s v="CUST013"/>
    <s v="Linda Wilson"/>
    <x v="4"/>
    <x v="0"/>
    <x v="116"/>
    <n v="4"/>
    <n v="0.05"/>
    <d v="2024-11-01T00:00:00"/>
    <n v="474.66"/>
    <n v="498.39300000000003"/>
    <n v="-0.18803938835961884"/>
    <m/>
  </r>
  <r>
    <s v="CUST008"/>
    <s v="James Wilson"/>
    <x v="1"/>
    <x v="4"/>
    <x v="117"/>
    <n v="14"/>
    <n v="0.05"/>
    <d v="2024-11-03T00:00:00"/>
    <n v="433.58"/>
    <n v="455.25900000000001"/>
    <n v="-3.5889649188538841E-3"/>
    <m/>
  </r>
  <r>
    <s v="CUST025"/>
    <s v="Lisa Davis"/>
    <x v="1"/>
    <x v="0"/>
    <x v="118"/>
    <n v="2"/>
    <n v="0.15"/>
    <d v="2024-11-09T00:00:00"/>
    <n v="343.6"/>
    <n v="395.14000000000004"/>
    <n v="-5.2732094440816238E-2"/>
    <m/>
  </r>
  <r>
    <s v="CUST026"/>
    <s v="Mary Wilson"/>
    <x v="3"/>
    <x v="3"/>
    <x v="119"/>
    <n v="4"/>
    <n v="0.05"/>
    <d v="2024-11-09T00:00:00"/>
    <n v="318.3"/>
    <n v="334.21500000000003"/>
    <n v="0.12601197129396538"/>
    <m/>
  </r>
  <r>
    <s v="CUST001"/>
    <s v="Lisa Thomas"/>
    <x v="3"/>
    <x v="3"/>
    <x v="120"/>
    <n v="3"/>
    <n v="0.05"/>
    <d v="2024-11-12T00:00:00"/>
    <n v="358.41"/>
    <n v="376.33050000000003"/>
    <n v="7.8939067834347551E-2"/>
    <m/>
  </r>
  <r>
    <s v="CUST028"/>
    <s v="Linda Brown"/>
    <x v="2"/>
    <x v="1"/>
    <x v="121"/>
    <n v="5"/>
    <n v="0"/>
    <d v="2024-11-15T00:00:00"/>
    <n v="581.5"/>
    <n v="581.5"/>
    <n v="-0.12764292654405382"/>
    <m/>
  </r>
  <r>
    <s v="CUST025"/>
    <s v="Lisa Thomas"/>
    <x v="1"/>
    <x v="4"/>
    <x v="122"/>
    <n v="10"/>
    <n v="0.1"/>
    <d v="2024-11-16T00:00:00"/>
    <n v="410.9"/>
    <n v="451.99"/>
    <n v="-0.29226462703043682"/>
    <m/>
  </r>
  <r>
    <s v="CUST019"/>
    <s v="James Taylor"/>
    <x v="2"/>
    <x v="2"/>
    <x v="123"/>
    <n v="14"/>
    <n v="0"/>
    <d v="2024-11-17T00:00:00"/>
    <n v="179.51"/>
    <n v="179.51"/>
    <n v="0.77963623196479304"/>
    <m/>
  </r>
  <r>
    <s v="CUST004"/>
    <s v="James Taylor"/>
    <x v="4"/>
    <x v="1"/>
    <x v="124"/>
    <n v="18"/>
    <n v="0.2"/>
    <d v="2024-11-17T00:00:00"/>
    <n v="511.14"/>
    <n v="613.36799999999994"/>
    <n v="-0.44693821653558707"/>
    <m/>
  </r>
  <r>
    <s v="CUST024"/>
    <s v="James Wilson"/>
    <x v="3"/>
    <x v="2"/>
    <x v="125"/>
    <n v="1"/>
    <n v="0.15"/>
    <d v="2024-11-17T00:00:00"/>
    <n v="150.18"/>
    <n v="172.70699999999999"/>
    <n v="0.99593904319895843"/>
    <m/>
  </r>
  <r>
    <s v="CUST002"/>
    <s v="Linda Brown"/>
    <x v="1"/>
    <x v="2"/>
    <x v="126"/>
    <n v="15"/>
    <n v="0"/>
    <d v="2024-11-19T00:00:00"/>
    <n v="352.65"/>
    <n v="352.65"/>
    <n v="-4.2719713027881946E-2"/>
    <m/>
  </r>
  <r>
    <s v="CUST009"/>
    <s v="Emma Wilson"/>
    <x v="2"/>
    <x v="3"/>
    <x v="127"/>
    <n v="10"/>
    <n v="0"/>
    <d v="2024-11-19T00:00:00"/>
    <n v="472.62"/>
    <n v="472.62"/>
    <n v="-0.31929232113631484"/>
    <m/>
  </r>
  <r>
    <s v="CUST029"/>
    <s v="Lisa Thomas"/>
    <x v="1"/>
    <x v="2"/>
    <x v="128"/>
    <n v="4"/>
    <n v="0.15"/>
    <d v="2024-11-19T00:00:00"/>
    <n v="195.33"/>
    <n v="224.62950000000001"/>
    <n v="-0.71876019930807888"/>
    <m/>
  </r>
  <r>
    <s v="CUST027"/>
    <s v="James Wilson"/>
    <x v="0"/>
    <x v="2"/>
    <x v="129"/>
    <n v="19"/>
    <n v="0"/>
    <d v="2024-11-20T00:00:00"/>
    <n v="64.63"/>
    <n v="64.63"/>
    <n v="3.6941317550578319"/>
    <m/>
  </r>
  <r>
    <s v="CUST011"/>
    <s v="Emma Wilson"/>
    <x v="1"/>
    <x v="0"/>
    <x v="130"/>
    <n v="5"/>
    <n v="0.05"/>
    <d v="2024-11-20T00:00:00"/>
    <n v="461.12"/>
    <n v="484.17599999999999"/>
    <n v="-5.2081616507894689E-2"/>
    <m/>
  </r>
  <r>
    <s v="CUST021"/>
    <s v="Emma Davis"/>
    <x v="4"/>
    <x v="0"/>
    <x v="131"/>
    <n v="8"/>
    <n v="0.05"/>
    <d v="2024-11-26T00:00:00"/>
    <n v="437.11"/>
    <n v="458.96550000000002"/>
    <n v="-0.25769377890600548"/>
    <m/>
  </r>
  <r>
    <s v="CUST014"/>
    <s v="David Anderson"/>
    <x v="2"/>
    <x v="3"/>
    <x v="132"/>
    <n v="8"/>
    <n v="0.1"/>
    <d v="2024-11-26T00:00:00"/>
    <n v="268.97000000000003"/>
    <n v="295.86700000000002"/>
    <n v="0.24263930855175314"/>
    <m/>
  </r>
  <r>
    <s v="CUST018"/>
    <s v="Lisa Thomas"/>
    <x v="2"/>
    <x v="2"/>
    <x v="133"/>
    <n v="1"/>
    <n v="0"/>
    <d v="2024-11-28T00:00:00"/>
    <n v="265.26"/>
    <n v="265.26"/>
    <n v="-0.15691208625499511"/>
    <m/>
  </r>
  <r>
    <s v="CUST001"/>
    <s v="Sarah Anderson"/>
    <x v="0"/>
    <x v="2"/>
    <x v="134"/>
    <n v="19"/>
    <n v="0.2"/>
    <d v="2024-11-29T00:00:00"/>
    <n v="178.91"/>
    <n v="214.69200000000001"/>
    <n v="-6.778827343356994E-2"/>
    <m/>
  </r>
  <r>
    <s v="CUST007"/>
    <s v="Emma Davis"/>
    <x v="3"/>
    <x v="4"/>
    <x v="135"/>
    <n v="3"/>
    <n v="0.05"/>
    <d v="2024-11-30T00:00:00"/>
    <n v="356.5"/>
    <n v="374.32499999999999"/>
    <n v="-1.6452614790564826E-2"/>
    <m/>
  </r>
  <r>
    <s v="CUST015"/>
    <s v="David Anderson"/>
    <x v="0"/>
    <x v="3"/>
    <x v="136"/>
    <n v="4"/>
    <n v="0.2"/>
    <d v="2024-12-04T00:00:00"/>
    <n v="229.65"/>
    <n v="275.58000000000004"/>
    <n v="-0.37607139809068635"/>
    <m/>
  </r>
  <r>
    <s v="CUST015"/>
    <s v="Emma Davis"/>
    <x v="4"/>
    <x v="2"/>
    <x v="137"/>
    <n v="8"/>
    <n v="0.05"/>
    <d v="2024-12-05T00:00:00"/>
    <n v="121.54"/>
    <n v="127.617"/>
    <n v="0.57507718763434545"/>
    <m/>
  </r>
  <r>
    <s v="CUST002"/>
    <s v="Emma Wilson"/>
    <x v="2"/>
    <x v="3"/>
    <x v="138"/>
    <n v="19"/>
    <n v="0.05"/>
    <d v="2024-12-12T00:00:00"/>
    <n v="268"/>
    <n v="281.39999999999998"/>
    <n v="0.77719191593365022"/>
    <m/>
  </r>
  <r>
    <s v="CUST001"/>
    <s v="Michael Anderson"/>
    <x v="4"/>
    <x v="3"/>
    <x v="139"/>
    <n v="16"/>
    <n v="0.15"/>
    <d v="2024-12-14T00:00:00"/>
    <n v="426.16"/>
    <n v="490.084"/>
    <n v="3.9170104784044271E-2"/>
    <m/>
  </r>
  <r>
    <s v="CUST027"/>
    <s v="Linda Wilson"/>
    <x v="4"/>
    <x v="2"/>
    <x v="140"/>
    <n v="10"/>
    <n v="0.15"/>
    <d v="2024-12-14T00:00:00"/>
    <n v="316.32"/>
    <n v="363.76799999999997"/>
    <n v="-0.17286272823764928"/>
    <m/>
  </r>
  <r>
    <s v="CUST026"/>
    <s v="Emma Taylor"/>
    <x v="1"/>
    <x v="0"/>
    <x v="141"/>
    <n v="9"/>
    <n v="0"/>
    <d v="2024-12-20T00:00:00"/>
    <n v="492.5"/>
    <n v="492.5"/>
    <n v="-5.651933791400672E-2"/>
    <m/>
  </r>
  <r>
    <s v="CUST026"/>
    <s v="Sarah Anderson"/>
    <x v="0"/>
    <x v="2"/>
    <x v="142"/>
    <n v="19"/>
    <n v="0.2"/>
    <d v="2024-12-21T00:00:00"/>
    <n v="232.33"/>
    <n v="278.79600000000005"/>
    <n v="-0.66580009813458207"/>
    <m/>
  </r>
  <r>
    <s v="CUST022"/>
    <s v="Lisa Thomas"/>
    <x v="4"/>
    <x v="4"/>
    <x v="143"/>
    <n v="16"/>
    <n v="0.05"/>
    <d v="2024-12-24T00:00:00"/>
    <n v="165.97"/>
    <n v="174.26849999999999"/>
    <n v="3.0940164335574272"/>
    <m/>
  </r>
  <r>
    <s v="CUST004"/>
    <s v="Mary Davis"/>
    <x v="3"/>
    <x v="1"/>
    <x v="144"/>
    <n v="6"/>
    <n v="0.15"/>
    <d v="2024-12-25T00:00:00"/>
    <n v="675.5"/>
    <n v="776.82500000000005"/>
    <n v="-0.78818688578223495"/>
    <m/>
  </r>
  <r>
    <s v="CUST001"/>
    <s v="David Anderson"/>
    <x v="3"/>
    <x v="1"/>
    <x v="145"/>
    <n v="13"/>
    <n v="0.2"/>
    <d v="2024-12-25T00:00:00"/>
    <n v="134.66"/>
    <n v="161.59199999999998"/>
    <n v="3.0212380443177085"/>
    <m/>
  </r>
  <r>
    <s v="CUST022"/>
    <s v="James Wilson"/>
    <x v="0"/>
    <x v="0"/>
    <x v="146"/>
    <n v="14"/>
    <n v="0.1"/>
    <d v="2024-12-30T00:00:00"/>
    <n v="487.36"/>
    <n v="536.096"/>
    <n v="-0.51055185811684234"/>
    <m/>
  </r>
  <r>
    <s v="CUST011"/>
    <s v="Linda Moore"/>
    <x v="4"/>
    <x v="1"/>
    <x v="147"/>
    <n v="11"/>
    <n v="0.05"/>
    <d v="2025-01-01T00:00:00"/>
    <n v="314.74"/>
    <n v="330.47700000000003"/>
    <n v="-0.53302847829039701"/>
    <m/>
  </r>
  <r>
    <s v="CUST028"/>
    <s v="Lisa Davis"/>
    <x v="3"/>
    <x v="4"/>
    <x v="148"/>
    <n v="1"/>
    <n v="0.2"/>
    <d v="2025-01-01T00:00:00"/>
    <n v="111.39"/>
    <n v="133.66800000000001"/>
    <n v="1.8589942473014027"/>
    <m/>
  </r>
  <r>
    <s v="CUST011"/>
    <s v="Linda Wilson"/>
    <x v="3"/>
    <x v="0"/>
    <x v="149"/>
    <n v="18"/>
    <n v="0.1"/>
    <d v="2025-01-02T00:00:00"/>
    <n v="318.47000000000003"/>
    <n v="350.31700000000001"/>
    <n v="-0.15778348009902449"/>
    <m/>
  </r>
  <r>
    <s v="CUST028"/>
    <s v="James Wilson"/>
    <x v="4"/>
    <x v="4"/>
    <x v="150"/>
    <n v="10"/>
    <n v="0.1"/>
    <d v="2025-01-03T00:00:00"/>
    <n v="301.75"/>
    <n v="331.92500000000001"/>
    <n v="0.16801556942487092"/>
    <m/>
  </r>
  <r>
    <s v="CUST016"/>
    <s v="James Taylor"/>
    <x v="2"/>
    <x v="1"/>
    <x v="151"/>
    <n v="5"/>
    <n v="0.05"/>
    <d v="2025-01-03T00:00:00"/>
    <n v="413.36"/>
    <n v="434.02800000000002"/>
    <n v="-9.2389368327912887E-3"/>
    <m/>
  </r>
  <r>
    <s v="CUST010"/>
    <s v="Linda Wilson"/>
    <x v="0"/>
    <x v="3"/>
    <x v="152"/>
    <n v="18"/>
    <n v="0.05"/>
    <d v="2025-01-06T00:00:00"/>
    <n v="286.68"/>
    <n v="301.01400000000001"/>
    <n v="0.3583780837170461"/>
    <m/>
  </r>
  <r>
    <s v="CUST013"/>
    <s v="Mary Wilson"/>
    <x v="3"/>
    <x v="1"/>
    <x v="153"/>
    <n v="19"/>
    <n v="0.05"/>
    <d v="2025-01-10T00:00:00"/>
    <n v="556.30999999999995"/>
    <n v="584.12549999999999"/>
    <n v="-9.9574787820830374E-2"/>
    <m/>
  </r>
  <r>
    <s v="CUST015"/>
    <s v="Robert Anderson"/>
    <x v="2"/>
    <x v="3"/>
    <x v="154"/>
    <n v="11"/>
    <n v="0.1"/>
    <d v="2025-01-12T00:00:00"/>
    <n v="332.19"/>
    <n v="365.40899999999999"/>
    <n v="0.59422887270520419"/>
    <m/>
  </r>
  <r>
    <s v="CUST015"/>
    <s v="James Wilson"/>
    <x v="3"/>
    <x v="2"/>
    <x v="155"/>
    <n v="5"/>
    <n v="0.2"/>
    <d v="2025-01-13T00:00:00"/>
    <n v="336.24"/>
    <n v="403.488"/>
    <n v="-0.77410912378584473"/>
    <m/>
  </r>
  <r>
    <s v="CUST015"/>
    <s v="David Thomas"/>
    <x v="0"/>
    <x v="1"/>
    <x v="156"/>
    <n v="9"/>
    <n v="0.05"/>
    <d v="2025-01-16T00:00:00"/>
    <n v="180.39"/>
    <n v="189.40949999999998"/>
    <n v="1.8341627827369196"/>
    <m/>
  </r>
  <r>
    <s v="CUST008"/>
    <s v="Lisa Thomas"/>
    <x v="4"/>
    <x v="1"/>
    <x v="157"/>
    <n v="2"/>
    <n v="0.1"/>
    <d v="2025-01-17T00:00:00"/>
    <n v="484.35"/>
    <n v="532.78500000000008"/>
    <n v="0.16201350886809818"/>
    <m/>
  </r>
  <r>
    <s v="CUST008"/>
    <s v="Mary Davis"/>
    <x v="4"/>
    <x v="4"/>
    <x v="158"/>
    <n v="7"/>
    <n v="0"/>
    <d v="2025-01-17T00:00:00"/>
    <n v="562.82000000000005"/>
    <n v="562.82000000000005"/>
    <n v="-0.10583588521719672"/>
    <m/>
  </r>
  <r>
    <s v="CUST023"/>
    <s v="James Taylor"/>
    <x v="2"/>
    <x v="1"/>
    <x v="159"/>
    <n v="6"/>
    <n v="0.2"/>
    <d v="2025-01-17T00:00:00"/>
    <n v="447.34"/>
    <n v="536.80799999999999"/>
    <n v="0.45091832537510956"/>
    <m/>
  </r>
  <r>
    <s v="CUST024"/>
    <s v="Linda Taylor"/>
    <x v="3"/>
    <x v="1"/>
    <x v="160"/>
    <n v="12"/>
    <n v="0.2"/>
    <d v="2025-01-20T00:00:00"/>
    <n v="649.04999999999995"/>
    <n v="778.8599999999999"/>
    <n v="-0.60518174310682726"/>
    <m/>
  </r>
  <r>
    <s v="CUST018"/>
    <s v="Lisa Davis"/>
    <x v="3"/>
    <x v="0"/>
    <x v="161"/>
    <n v="11"/>
    <n v="0.2"/>
    <d v="2025-01-21T00:00:00"/>
    <n v="205"/>
    <n v="246"/>
    <n v="-8.6600899100899131E-2"/>
    <m/>
  </r>
  <r>
    <s v="CUST030"/>
    <s v="Sarah Anderson"/>
    <x v="0"/>
    <x v="1"/>
    <x v="162"/>
    <n v="17"/>
    <n v="0.1"/>
    <d v="2025-01-27T00:00:00"/>
    <n v="263.32"/>
    <n v="289.65199999999999"/>
    <n v="0.8968829038211773"/>
    <m/>
  </r>
  <r>
    <s v="CUST030"/>
    <s v="Mary Davis"/>
    <x v="1"/>
    <x v="1"/>
    <x v="163"/>
    <n v="5"/>
    <n v="0.2"/>
    <d v="2025-02-02T00:00:00"/>
    <n v="443.99"/>
    <n v="532.78800000000001"/>
    <n v="-1.0720913890340448E-2"/>
    <m/>
  </r>
  <r>
    <s v="CUST015"/>
    <s v="Lisa Thomas"/>
    <x v="1"/>
    <x v="0"/>
    <x v="164"/>
    <n v="9"/>
    <n v="0.1"/>
    <d v="2025-02-04T00:00:00"/>
    <n v="395.31"/>
    <n v="434.84100000000001"/>
    <n v="-0.24663958910097619"/>
    <m/>
  </r>
  <r>
    <s v="CUST002"/>
    <s v="Lisa Davis"/>
    <x v="0"/>
    <x v="4"/>
    <x v="165"/>
    <n v="7"/>
    <n v="0.1"/>
    <d v="2025-02-05T00:00:00"/>
    <n v="335.04"/>
    <n v="368.54400000000004"/>
    <n v="-0.10319734058627984"/>
    <m/>
  </r>
  <r>
    <s v="CUST024"/>
    <s v="Linda Wilson"/>
    <x v="4"/>
    <x v="1"/>
    <x v="166"/>
    <n v="16"/>
    <n v="0.1"/>
    <d v="2025-02-07T00:00:00"/>
    <n v="333.85"/>
    <n v="367.23500000000001"/>
    <n v="0.76748261174313903"/>
    <m/>
  </r>
  <r>
    <s v="CUST004"/>
    <s v="James Davis"/>
    <x v="1"/>
    <x v="4"/>
    <x v="167"/>
    <n v="6"/>
    <n v="0.1"/>
    <d v="2025-02-10T00:00:00"/>
    <n v="531.05999999999995"/>
    <n v="584.16599999999994"/>
    <n v="-0.56277168524930221"/>
    <m/>
  </r>
  <r>
    <s v="CUST004"/>
    <s v="Mary Davis"/>
    <x v="2"/>
    <x v="4"/>
    <x v="168"/>
    <n v="19"/>
    <n v="0.1"/>
    <d v="2025-02-15T00:00:00"/>
    <n v="232.19"/>
    <n v="255.40899999999999"/>
    <n v="0.94519639991627702"/>
    <m/>
  </r>
  <r>
    <s v="CUST028"/>
    <s v="James Wilson"/>
    <x v="0"/>
    <x v="2"/>
    <x v="169"/>
    <n v="14"/>
    <n v="0.2"/>
    <d v="2025-02-17T00:00:00"/>
    <n v="223.04"/>
    <n v="267.64800000000002"/>
    <n v="-0.24154875271246928"/>
    <m/>
  </r>
  <r>
    <s v="CUST012"/>
    <s v="Lisa Thomas"/>
    <x v="3"/>
    <x v="1"/>
    <x v="170"/>
    <n v="4"/>
    <n v="0"/>
    <d v="2025-02-19T00:00:00"/>
    <n v="422.92"/>
    <n v="422.92"/>
    <n v="0.21748794098174587"/>
    <m/>
  </r>
  <r>
    <s v="CUST026"/>
    <s v="David Brown"/>
    <x v="0"/>
    <x v="2"/>
    <x v="171"/>
    <n v="3"/>
    <n v="0"/>
    <d v="2025-02-20T00:00:00"/>
    <n v="257.45"/>
    <n v="257.45"/>
    <n v="0.15539910662264517"/>
    <m/>
  </r>
  <r>
    <s v="CUST009"/>
    <s v="Mary Davis"/>
    <x v="3"/>
    <x v="0"/>
    <x v="172"/>
    <n v="2"/>
    <n v="0.2"/>
    <d v="2025-02-21T00:00:00"/>
    <n v="380.75"/>
    <n v="456.9"/>
    <n v="-0.40808350772799473"/>
    <m/>
  </r>
  <r>
    <s v="CUST003"/>
    <s v="Sarah Anderson"/>
    <x v="2"/>
    <x v="0"/>
    <x v="173"/>
    <n v="15"/>
    <n v="0.2"/>
    <d v="2025-02-24T00:00:00"/>
    <n v="225.37"/>
    <n v="270.44400000000002"/>
    <n v="1.2976940989379226"/>
    <m/>
  </r>
  <r>
    <s v="CUST002"/>
    <s v="Mary Jackson"/>
    <x v="4"/>
    <x v="4"/>
    <x v="174"/>
    <n v="12"/>
    <n v="0.2"/>
    <d v="2025-02-24T00:00:00"/>
    <n v="582.55999999999995"/>
    <n v="699.07199999999989"/>
    <n v="-0.37311984773392992"/>
    <m/>
  </r>
  <r>
    <s v="CUST013"/>
    <s v="Linda Taylor"/>
    <x v="4"/>
    <x v="0"/>
    <x v="175"/>
    <n v="2"/>
    <n v="0.15"/>
    <d v="2025-02-25T00:00:00"/>
    <n v="344.91"/>
    <n v="396.6465"/>
    <n v="-0.1847934307936476"/>
    <m/>
  </r>
  <r>
    <s v="CUST018"/>
    <s v="Mary Davis"/>
    <x v="4"/>
    <x v="1"/>
    <x v="176"/>
    <n v="18"/>
    <n v="0.2"/>
    <d v="2025-02-27T00:00:00"/>
    <n v="330.79"/>
    <n v="396.94800000000004"/>
    <n v="0.23611497394101355"/>
    <m/>
  </r>
  <r>
    <s v="CUST017"/>
    <s v="Mary Davis"/>
    <x v="4"/>
    <x v="1"/>
    <x v="177"/>
    <n v="8"/>
    <n v="0.1"/>
    <d v="2025-03-01T00:00:00"/>
    <n v="460"/>
    <n v="506"/>
    <n v="7.5775510403725224E-2"/>
    <m/>
  </r>
  <r>
    <s v="CUST004"/>
    <s v="Linda Wilson"/>
    <x v="1"/>
    <x v="0"/>
    <x v="178"/>
    <n v="6"/>
    <n v="0"/>
    <d v="2025-03-02T00:00:00"/>
    <n v="439.88"/>
    <n v="439.88"/>
    <n v="-0.35389064190817415"/>
    <m/>
  </r>
  <r>
    <s v="CUST028"/>
    <s v="Sarah Davis"/>
    <x v="3"/>
    <x v="0"/>
    <x v="179"/>
    <n v="8"/>
    <n v="0.1"/>
    <d v="2025-03-05T00:00:00"/>
    <n v="255.79"/>
    <n v="281.36899999999997"/>
    <n v="-0.29744412542926307"/>
    <m/>
  </r>
  <r>
    <s v="CUST028"/>
    <s v="Mary Wilson"/>
    <x v="3"/>
    <x v="0"/>
    <x v="180"/>
    <n v="15"/>
    <n v="0.2"/>
    <d v="2025-03-08T00:00:00"/>
    <n v="159.74"/>
    <n v="191.68800000000002"/>
    <n v="1.1318762770944348"/>
    <m/>
  </r>
  <r>
    <s v="CUST014"/>
    <s v="Emma Davis"/>
    <x v="2"/>
    <x v="0"/>
    <x v="181"/>
    <n v="18"/>
    <n v="0.05"/>
    <d v="2025-03-09T00:00:00"/>
    <n v="404.39"/>
    <n v="424.60949999999997"/>
    <n v="-0.58770520301825802"/>
    <m/>
  </r>
  <r>
    <s v="CUST003"/>
    <s v="Emma Davis"/>
    <x v="1"/>
    <x v="4"/>
    <x v="182"/>
    <n v="18"/>
    <n v="0.05"/>
    <d v="2025-03-10T00:00:00"/>
    <n v="187.57"/>
    <n v="196.9485"/>
    <n v="0.97141945482724046"/>
    <m/>
  </r>
  <r>
    <s v="CUST029"/>
    <s v="David Brown"/>
    <x v="0"/>
    <x v="1"/>
    <x v="183"/>
    <n v="2"/>
    <n v="0.05"/>
    <d v="2025-03-11T00:00:00"/>
    <n v="410.87"/>
    <n v="431.4135"/>
    <n v="0.13867372656015159"/>
    <m/>
  </r>
  <r>
    <s v="CUST021"/>
    <s v="David Brown"/>
    <x v="0"/>
    <x v="3"/>
    <x v="184"/>
    <n v="14"/>
    <n v="0.2"/>
    <d v="2025-03-17T00:00:00"/>
    <n v="275.77999999999997"/>
    <n v="330.93599999999998"/>
    <n v="0.51634126283086113"/>
    <m/>
  </r>
  <r>
    <s v="CUST007"/>
    <s v="David Brown"/>
    <x v="0"/>
    <x v="1"/>
    <x v="185"/>
    <n v="18"/>
    <n v="0"/>
    <d v="2025-03-18T00:00:00"/>
    <n v="746.74"/>
    <n v="746.74"/>
    <n v="-0.53837655424542519"/>
    <m/>
  </r>
  <r>
    <s v="CUST009"/>
    <s v="Linda Taylor"/>
    <x v="2"/>
    <x v="1"/>
    <x v="186"/>
    <n v="9"/>
    <n v="0.1"/>
    <d v="2025-03-20T00:00:00"/>
    <n v="310.24"/>
    <n v="341.26400000000001"/>
    <n v="-1.0428905037494657E-2"/>
    <m/>
  </r>
  <r>
    <s v="CUST023"/>
    <s v="Mary Wilson"/>
    <x v="2"/>
    <x v="1"/>
    <x v="187"/>
    <n v="1"/>
    <n v="0"/>
    <d v="2025-03-22T00:00:00"/>
    <n v="341.12"/>
    <n v="341.12"/>
    <n v="-0.32789047842401498"/>
    <m/>
  </r>
  <r>
    <s v="CUST029"/>
    <s v="Michael Anderson"/>
    <x v="3"/>
    <x v="2"/>
    <x v="188"/>
    <n v="15"/>
    <n v="0.2"/>
    <d v="2025-03-25T00:00:00"/>
    <n v="91.71"/>
    <n v="110.05199999999999"/>
    <n v="1.5826536398133206"/>
    <m/>
  </r>
  <r>
    <s v="CUST009"/>
    <s v="Michael Anderson"/>
    <x v="2"/>
    <x v="3"/>
    <x v="189"/>
    <n v="11"/>
    <n v="0.2"/>
    <d v="2025-03-26T00:00:00"/>
    <n v="331.59"/>
    <n v="397.90799999999996"/>
    <n v="-0.35643656322567024"/>
    <m/>
  </r>
  <r>
    <s v="CUST007"/>
    <s v="James Davis"/>
    <x v="2"/>
    <x v="1"/>
    <x v="190"/>
    <n v="9"/>
    <n v="0"/>
    <d v="2025-03-27T00:00:00"/>
    <n v="381.07"/>
    <n v="381.07"/>
    <n v="-1.4997244600729459E-2"/>
    <m/>
  </r>
  <r>
    <s v="CUST030"/>
    <s v="Linda Taylor"/>
    <x v="3"/>
    <x v="0"/>
    <x v="191"/>
    <n v="10"/>
    <n v="0.15"/>
    <d v="2025-03-27T00:00:00"/>
    <n v="255.24"/>
    <n v="293.52600000000001"/>
    <n v="0.94074942387872806"/>
    <m/>
  </r>
  <r>
    <s v="CUST018"/>
    <s v="David Anderson"/>
    <x v="4"/>
    <x v="1"/>
    <x v="192"/>
    <n v="14"/>
    <n v="0.05"/>
    <d v="2025-03-29T00:00:00"/>
    <n v="692.05"/>
    <n v="726.65249999999992"/>
    <n v="-0.24953670020728372"/>
    <m/>
  </r>
  <r>
    <s v="CUST008"/>
    <s v="Emma Wilson"/>
    <x v="1"/>
    <x v="3"/>
    <x v="193"/>
    <n v="17"/>
    <n v="0.1"/>
    <d v="2025-03-29T00:00:00"/>
    <n v="344.41"/>
    <n v="378.851"/>
    <n v="-0.14552122775247409"/>
    <m/>
  </r>
  <r>
    <s v="CUST014"/>
    <s v="Sarah Anderson"/>
    <x v="0"/>
    <x v="1"/>
    <x v="194"/>
    <n v="8"/>
    <n v="0.15"/>
    <d v="2025-03-30T00:00:00"/>
    <n v="397.06"/>
    <n v="456.61900000000003"/>
    <n v="0.56844381174606906"/>
    <m/>
  </r>
  <r>
    <s v="CUST024"/>
    <s v="David Thomas"/>
    <x v="4"/>
    <x v="1"/>
    <x v="195"/>
    <n v="8"/>
    <n v="0.2"/>
    <d v="2025-03-30T00:00:00"/>
    <n v="586.14"/>
    <n v="703.36799999999994"/>
    <n v="-0.49445524959907189"/>
    <m/>
  </r>
  <r>
    <s v="CUST028"/>
    <s v="Robert Anderson"/>
    <x v="2"/>
    <x v="4"/>
    <x v="196"/>
    <n v="3"/>
    <n v="0"/>
    <d v="2025-04-02T00:00:00"/>
    <n v="333.36"/>
    <n v="333.36"/>
    <n v="-0.26371490280777526"/>
    <m/>
  </r>
  <r>
    <s v="CUST015"/>
    <s v="Sarah Anderson"/>
    <x v="0"/>
    <x v="4"/>
    <x v="197"/>
    <n v="17"/>
    <n v="0"/>
    <d v="2025-04-05T00:00:00"/>
    <n v="245.45"/>
    <n v="245.45"/>
    <n v="0.82900044001173345"/>
    <m/>
  </r>
  <r>
    <s v="CUST010"/>
    <s v="David Thomas"/>
    <x v="1"/>
    <x v="0"/>
    <x v="198"/>
    <n v="8"/>
    <n v="0.05"/>
    <d v="2025-04-05T00:00:00"/>
    <n v="379.09"/>
    <n v="398.04449999999997"/>
    <n v="-6.9455999839616644E-2"/>
    <m/>
  </r>
  <r>
    <s v="CUST016"/>
    <s v="David Thomas"/>
    <x v="2"/>
    <x v="1"/>
    <x v="199"/>
    <n v="2"/>
    <n v="0.05"/>
    <d v="2025-04-07T00:00:00"/>
    <n v="440.95"/>
    <n v="462.9975"/>
    <n v="-1"/>
    <m/>
  </r>
  <r>
    <m/>
    <m/>
    <x v="5"/>
    <x v="5"/>
    <x v="200"/>
    <m/>
    <m/>
    <m/>
    <n v="68287.01000000000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3:H221" firstHeaderRow="1" firstDataRow="2" firstDataCol="1"/>
  <pivotFields count="12">
    <pivotField showAll="0"/>
    <pivotField showAll="0"/>
    <pivotField axis="axisRow" showAll="0">
      <items count="7">
        <item x="4"/>
        <item x="1"/>
        <item x="3"/>
        <item x="2"/>
        <item x="0"/>
        <item x="5"/>
        <item t="default"/>
      </items>
    </pivotField>
    <pivotField axis="axisCol" showAll="0">
      <items count="7">
        <item x="0"/>
        <item x="1"/>
        <item x="2"/>
        <item x="3"/>
        <item x="4"/>
        <item x="5"/>
        <item t="default"/>
      </items>
    </pivotField>
    <pivotField dataField="1" showAll="0">
      <items count="202">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x="200"/>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7">
    <i>
      <x/>
    </i>
    <i>
      <x v="1"/>
    </i>
    <i>
      <x v="2"/>
    </i>
    <i>
      <x v="3"/>
    </i>
    <i>
      <x v="4"/>
    </i>
    <i>
      <x v="5"/>
    </i>
    <i t="grand">
      <x/>
    </i>
  </colItems>
  <dataFields count="1">
    <dataField name="Sum of Sales" fld="4" baseField="2" baseItem="0"/>
  </dataFields>
  <chartFormats count="5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2">
          <reference field="4294967294" count="1" selected="0">
            <x v="0"/>
          </reference>
          <reference field="3" count="1" selected="0">
            <x v="5"/>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5"/>
          </reference>
        </references>
      </pivotArea>
    </chartFormat>
    <chartFormat chart="3" format="6">
      <pivotArea type="data" outline="0" fieldPosition="0">
        <references count="3">
          <reference field="4294967294" count="1" selected="0">
            <x v="0"/>
          </reference>
          <reference field="2" count="1" selected="0">
            <x v="0"/>
          </reference>
          <reference field="3" count="1" selected="0">
            <x v="0"/>
          </reference>
        </references>
      </pivotArea>
    </chartFormat>
    <chartFormat chart="3" format="7">
      <pivotArea type="data" outline="0" fieldPosition="0">
        <references count="3">
          <reference field="4294967294" count="1" selected="0">
            <x v="0"/>
          </reference>
          <reference field="2" count="1" selected="0">
            <x v="1"/>
          </reference>
          <reference field="3" count="1" selected="0">
            <x v="0"/>
          </reference>
        </references>
      </pivotArea>
    </chartFormat>
    <chartFormat chart="3" format="8">
      <pivotArea type="data" outline="0" fieldPosition="0">
        <references count="3">
          <reference field="4294967294" count="1" selected="0">
            <x v="0"/>
          </reference>
          <reference field="2" count="1" selected="0">
            <x v="2"/>
          </reference>
          <reference field="3" count="1" selected="0">
            <x v="0"/>
          </reference>
        </references>
      </pivotArea>
    </chartFormat>
    <chartFormat chart="3" format="9">
      <pivotArea type="data" outline="0" fieldPosition="0">
        <references count="3">
          <reference field="4294967294" count="1" selected="0">
            <x v="0"/>
          </reference>
          <reference field="2" count="1" selected="0">
            <x v="3"/>
          </reference>
          <reference field="3" count="1" selected="0">
            <x v="0"/>
          </reference>
        </references>
      </pivotArea>
    </chartFormat>
    <chartFormat chart="3" format="10">
      <pivotArea type="data" outline="0" fieldPosition="0">
        <references count="3">
          <reference field="4294967294" count="1" selected="0">
            <x v="0"/>
          </reference>
          <reference field="2" count="1" selected="0">
            <x v="4"/>
          </reference>
          <reference field="3" count="1" selected="0">
            <x v="0"/>
          </reference>
        </references>
      </pivotArea>
    </chartFormat>
    <chartFormat chart="3" format="11">
      <pivotArea type="data" outline="0" fieldPosition="0">
        <references count="3">
          <reference field="4294967294" count="1" selected="0">
            <x v="0"/>
          </reference>
          <reference field="2" count="1" selected="0">
            <x v="5"/>
          </reference>
          <reference field="3" count="1" selected="0">
            <x v="0"/>
          </reference>
        </references>
      </pivotArea>
    </chartFormat>
    <chartFormat chart="3" format="12">
      <pivotArea type="data" outline="0" fieldPosition="0">
        <references count="3">
          <reference field="4294967294" count="1" selected="0">
            <x v="0"/>
          </reference>
          <reference field="2" count="1" selected="0">
            <x v="0"/>
          </reference>
          <reference field="3" count="1" selected="0">
            <x v="1"/>
          </reference>
        </references>
      </pivotArea>
    </chartFormat>
    <chartFormat chart="3" format="13">
      <pivotArea type="data" outline="0" fieldPosition="0">
        <references count="3">
          <reference field="4294967294" count="1" selected="0">
            <x v="0"/>
          </reference>
          <reference field="2" count="1" selected="0">
            <x v="1"/>
          </reference>
          <reference field="3" count="1" selected="0">
            <x v="1"/>
          </reference>
        </references>
      </pivotArea>
    </chartFormat>
    <chartFormat chart="3" format="14">
      <pivotArea type="data" outline="0" fieldPosition="0">
        <references count="3">
          <reference field="4294967294" count="1" selected="0">
            <x v="0"/>
          </reference>
          <reference field="2" count="1" selected="0">
            <x v="2"/>
          </reference>
          <reference field="3" count="1" selected="0">
            <x v="1"/>
          </reference>
        </references>
      </pivotArea>
    </chartFormat>
    <chartFormat chart="3" format="15">
      <pivotArea type="data" outline="0" fieldPosition="0">
        <references count="3">
          <reference field="4294967294" count="1" selected="0">
            <x v="0"/>
          </reference>
          <reference field="2" count="1" selected="0">
            <x v="3"/>
          </reference>
          <reference field="3" count="1" selected="0">
            <x v="1"/>
          </reference>
        </references>
      </pivotArea>
    </chartFormat>
    <chartFormat chart="3" format="16">
      <pivotArea type="data" outline="0" fieldPosition="0">
        <references count="3">
          <reference field="4294967294" count="1" selected="0">
            <x v="0"/>
          </reference>
          <reference field="2" count="1" selected="0">
            <x v="4"/>
          </reference>
          <reference field="3" count="1" selected="0">
            <x v="1"/>
          </reference>
        </references>
      </pivotArea>
    </chartFormat>
    <chartFormat chart="3" format="17">
      <pivotArea type="data" outline="0" fieldPosition="0">
        <references count="3">
          <reference field="4294967294" count="1" selected="0">
            <x v="0"/>
          </reference>
          <reference field="2" count="1" selected="0">
            <x v="5"/>
          </reference>
          <reference field="3" count="1" selected="0">
            <x v="1"/>
          </reference>
        </references>
      </pivotArea>
    </chartFormat>
    <chartFormat chart="3" format="18">
      <pivotArea type="data" outline="0" fieldPosition="0">
        <references count="3">
          <reference field="4294967294" count="1" selected="0">
            <x v="0"/>
          </reference>
          <reference field="2" count="1" selected="0">
            <x v="0"/>
          </reference>
          <reference field="3" count="1" selected="0">
            <x v="2"/>
          </reference>
        </references>
      </pivotArea>
    </chartFormat>
    <chartFormat chart="3" format="19">
      <pivotArea type="data" outline="0" fieldPosition="0">
        <references count="3">
          <reference field="4294967294" count="1" selected="0">
            <x v="0"/>
          </reference>
          <reference field="2" count="1" selected="0">
            <x v="1"/>
          </reference>
          <reference field="3" count="1" selected="0">
            <x v="2"/>
          </reference>
        </references>
      </pivotArea>
    </chartFormat>
    <chartFormat chart="3" format="20">
      <pivotArea type="data" outline="0" fieldPosition="0">
        <references count="3">
          <reference field="4294967294" count="1" selected="0">
            <x v="0"/>
          </reference>
          <reference field="2" count="1" selected="0">
            <x v="2"/>
          </reference>
          <reference field="3" count="1" selected="0">
            <x v="2"/>
          </reference>
        </references>
      </pivotArea>
    </chartFormat>
    <chartFormat chart="3" format="21">
      <pivotArea type="data" outline="0" fieldPosition="0">
        <references count="3">
          <reference field="4294967294" count="1" selected="0">
            <x v="0"/>
          </reference>
          <reference field="2" count="1" selected="0">
            <x v="3"/>
          </reference>
          <reference field="3" count="1" selected="0">
            <x v="2"/>
          </reference>
        </references>
      </pivotArea>
    </chartFormat>
    <chartFormat chart="3" format="22">
      <pivotArea type="data" outline="0" fieldPosition="0">
        <references count="3">
          <reference field="4294967294" count="1" selected="0">
            <x v="0"/>
          </reference>
          <reference field="2" count="1" selected="0">
            <x v="4"/>
          </reference>
          <reference field="3" count="1" selected="0">
            <x v="2"/>
          </reference>
        </references>
      </pivotArea>
    </chartFormat>
    <chartFormat chart="3" format="23">
      <pivotArea type="data" outline="0" fieldPosition="0">
        <references count="3">
          <reference field="4294967294" count="1" selected="0">
            <x v="0"/>
          </reference>
          <reference field="2" count="1" selected="0">
            <x v="5"/>
          </reference>
          <reference field="3" count="1" selected="0">
            <x v="2"/>
          </reference>
        </references>
      </pivotArea>
    </chartFormat>
    <chartFormat chart="3" format="24">
      <pivotArea type="data" outline="0" fieldPosition="0">
        <references count="3">
          <reference field="4294967294" count="1" selected="0">
            <x v="0"/>
          </reference>
          <reference field="2" count="1" selected="0">
            <x v="0"/>
          </reference>
          <reference field="3" count="1" selected="0">
            <x v="3"/>
          </reference>
        </references>
      </pivotArea>
    </chartFormat>
    <chartFormat chart="3" format="25">
      <pivotArea type="data" outline="0" fieldPosition="0">
        <references count="3">
          <reference field="4294967294" count="1" selected="0">
            <x v="0"/>
          </reference>
          <reference field="2" count="1" selected="0">
            <x v="1"/>
          </reference>
          <reference field="3" count="1" selected="0">
            <x v="3"/>
          </reference>
        </references>
      </pivotArea>
    </chartFormat>
    <chartFormat chart="3" format="26">
      <pivotArea type="data" outline="0" fieldPosition="0">
        <references count="3">
          <reference field="4294967294" count="1" selected="0">
            <x v="0"/>
          </reference>
          <reference field="2" count="1" selected="0">
            <x v="2"/>
          </reference>
          <reference field="3" count="1" selected="0">
            <x v="3"/>
          </reference>
        </references>
      </pivotArea>
    </chartFormat>
    <chartFormat chart="3" format="27">
      <pivotArea type="data" outline="0" fieldPosition="0">
        <references count="3">
          <reference field="4294967294" count="1" selected="0">
            <x v="0"/>
          </reference>
          <reference field="2" count="1" selected="0">
            <x v="3"/>
          </reference>
          <reference field="3" count="1" selected="0">
            <x v="3"/>
          </reference>
        </references>
      </pivotArea>
    </chartFormat>
    <chartFormat chart="3" format="28">
      <pivotArea type="data" outline="0" fieldPosition="0">
        <references count="3">
          <reference field="4294967294" count="1" selected="0">
            <x v="0"/>
          </reference>
          <reference field="2" count="1" selected="0">
            <x v="4"/>
          </reference>
          <reference field="3" count="1" selected="0">
            <x v="3"/>
          </reference>
        </references>
      </pivotArea>
    </chartFormat>
    <chartFormat chart="3" format="29">
      <pivotArea type="data" outline="0" fieldPosition="0">
        <references count="3">
          <reference field="4294967294" count="1" selected="0">
            <x v="0"/>
          </reference>
          <reference field="2" count="1" selected="0">
            <x v="5"/>
          </reference>
          <reference field="3" count="1" selected="0">
            <x v="3"/>
          </reference>
        </references>
      </pivotArea>
    </chartFormat>
    <chartFormat chart="3" format="30">
      <pivotArea type="data" outline="0" fieldPosition="0">
        <references count="3">
          <reference field="4294967294" count="1" selected="0">
            <x v="0"/>
          </reference>
          <reference field="2" count="1" selected="0">
            <x v="0"/>
          </reference>
          <reference field="3" count="1" selected="0">
            <x v="4"/>
          </reference>
        </references>
      </pivotArea>
    </chartFormat>
    <chartFormat chart="3" format="31">
      <pivotArea type="data" outline="0" fieldPosition="0">
        <references count="3">
          <reference field="4294967294" count="1" selected="0">
            <x v="0"/>
          </reference>
          <reference field="2" count="1" selected="0">
            <x v="1"/>
          </reference>
          <reference field="3" count="1" selected="0">
            <x v="4"/>
          </reference>
        </references>
      </pivotArea>
    </chartFormat>
    <chartFormat chart="3" format="32">
      <pivotArea type="data" outline="0" fieldPosition="0">
        <references count="3">
          <reference field="4294967294" count="1" selected="0">
            <x v="0"/>
          </reference>
          <reference field="2" count="1" selected="0">
            <x v="2"/>
          </reference>
          <reference field="3" count="1" selected="0">
            <x v="4"/>
          </reference>
        </references>
      </pivotArea>
    </chartFormat>
    <chartFormat chart="3" format="33">
      <pivotArea type="data" outline="0" fieldPosition="0">
        <references count="3">
          <reference field="4294967294" count="1" selected="0">
            <x v="0"/>
          </reference>
          <reference field="2" count="1" selected="0">
            <x v="3"/>
          </reference>
          <reference field="3" count="1" selected="0">
            <x v="4"/>
          </reference>
        </references>
      </pivotArea>
    </chartFormat>
    <chartFormat chart="3" format="34">
      <pivotArea type="data" outline="0" fieldPosition="0">
        <references count="3">
          <reference field="4294967294" count="1" selected="0">
            <x v="0"/>
          </reference>
          <reference field="2" count="1" selected="0">
            <x v="4"/>
          </reference>
          <reference field="3" count="1" selected="0">
            <x v="4"/>
          </reference>
        </references>
      </pivotArea>
    </chartFormat>
    <chartFormat chart="3" format="35">
      <pivotArea type="data" outline="0" fieldPosition="0">
        <references count="3">
          <reference field="4294967294" count="1" selected="0">
            <x v="0"/>
          </reference>
          <reference field="2" count="1" selected="0">
            <x v="5"/>
          </reference>
          <reference field="3" count="1" selected="0">
            <x v="4"/>
          </reference>
        </references>
      </pivotArea>
    </chartFormat>
    <chartFormat chart="3" format="36">
      <pivotArea type="data" outline="0" fieldPosition="0">
        <references count="3">
          <reference field="4294967294" count="1" selected="0">
            <x v="0"/>
          </reference>
          <reference field="2" count="1" selected="0">
            <x v="0"/>
          </reference>
          <reference field="3" count="1" selected="0">
            <x v="5"/>
          </reference>
        </references>
      </pivotArea>
    </chartFormat>
    <chartFormat chart="3" format="37">
      <pivotArea type="data" outline="0" fieldPosition="0">
        <references count="3">
          <reference field="4294967294" count="1" selected="0">
            <x v="0"/>
          </reference>
          <reference field="2" count="1" selected="0">
            <x v="1"/>
          </reference>
          <reference field="3" count="1" selected="0">
            <x v="5"/>
          </reference>
        </references>
      </pivotArea>
    </chartFormat>
    <chartFormat chart="3" format="38">
      <pivotArea type="data" outline="0" fieldPosition="0">
        <references count="3">
          <reference field="4294967294" count="1" selected="0">
            <x v="0"/>
          </reference>
          <reference field="2" count="1" selected="0">
            <x v="2"/>
          </reference>
          <reference field="3" count="1" selected="0">
            <x v="5"/>
          </reference>
        </references>
      </pivotArea>
    </chartFormat>
    <chartFormat chart="3" format="39">
      <pivotArea type="data" outline="0" fieldPosition="0">
        <references count="3">
          <reference field="4294967294" count="1" selected="0">
            <x v="0"/>
          </reference>
          <reference field="2" count="1" selected="0">
            <x v="3"/>
          </reference>
          <reference field="3" count="1" selected="0">
            <x v="5"/>
          </reference>
        </references>
      </pivotArea>
    </chartFormat>
    <chartFormat chart="3" format="40">
      <pivotArea type="data" outline="0" fieldPosition="0">
        <references count="3">
          <reference field="4294967294" count="1" selected="0">
            <x v="0"/>
          </reference>
          <reference field="2" count="1" selected="0">
            <x v="4"/>
          </reference>
          <reference field="3" count="1" selected="0">
            <x v="5"/>
          </reference>
        </references>
      </pivotArea>
    </chartFormat>
    <chartFormat chart="3" format="41">
      <pivotArea type="data" outline="0" fieldPosition="0">
        <references count="3">
          <reference field="4294967294" count="1" selected="0">
            <x v="0"/>
          </reference>
          <reference field="2" count="1" selected="0">
            <x v="5"/>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3"/>
  </pivotTables>
  <data>
    <tabular pivotCacheId="1">
      <items count="6">
        <i x="4" s="1"/>
        <i x="1" s="1"/>
        <i x="3"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E25"/>
  <sheetViews>
    <sheetView showGridLines="0" workbookViewId="0">
      <selection activeCell="G20" sqref="G20"/>
    </sheetView>
  </sheetViews>
  <sheetFormatPr defaultRowHeight="15" outlineLevelRow="1" outlineLevelCol="1" x14ac:dyDescent="0.25"/>
  <cols>
    <col min="3" max="3" width="6.28515625" customWidth="1"/>
    <col min="4" max="5" width="13.140625" bestFit="1" customWidth="1" outlineLevel="1"/>
  </cols>
  <sheetData>
    <row r="1" spans="2:5" ht="15.75" thickBot="1" x14ac:dyDescent="0.3"/>
    <row r="2" spans="2:5" ht="15.75" x14ac:dyDescent="0.25">
      <c r="B2" s="8" t="s">
        <v>93</v>
      </c>
      <c r="C2" s="8"/>
      <c r="D2" s="13"/>
      <c r="E2" s="13"/>
    </row>
    <row r="3" spans="2:5" ht="15.75" collapsed="1" x14ac:dyDescent="0.25">
      <c r="B3" s="7"/>
      <c r="C3" s="7"/>
      <c r="D3" s="14" t="s">
        <v>95</v>
      </c>
      <c r="E3" s="14">
        <v>2026</v>
      </c>
    </row>
    <row r="4" spans="2:5" ht="22.5" hidden="1" outlineLevel="1" x14ac:dyDescent="0.25">
      <c r="B4" s="10"/>
      <c r="C4" s="10"/>
      <c r="D4" s="5"/>
      <c r="E4" s="16" t="s">
        <v>92</v>
      </c>
    </row>
    <row r="5" spans="2:5" x14ac:dyDescent="0.25">
      <c r="B5" s="11" t="s">
        <v>94</v>
      </c>
      <c r="C5" s="11"/>
      <c r="D5" s="9"/>
      <c r="E5" s="9"/>
    </row>
    <row r="6" spans="2:5" outlineLevel="1" x14ac:dyDescent="0.25">
      <c r="B6" s="10"/>
      <c r="C6" s="10" t="s">
        <v>76</v>
      </c>
      <c r="D6" s="5">
        <v>0</v>
      </c>
      <c r="E6" s="15">
        <v>0.5</v>
      </c>
    </row>
    <row r="7" spans="2:5" outlineLevel="1" x14ac:dyDescent="0.25">
      <c r="B7" s="10"/>
      <c r="C7" s="10" t="s">
        <v>77</v>
      </c>
      <c r="D7" s="5">
        <v>0.2</v>
      </c>
      <c r="E7" s="15">
        <v>0.7</v>
      </c>
    </row>
    <row r="8" spans="2:5" outlineLevel="1" x14ac:dyDescent="0.25">
      <c r="B8" s="10"/>
      <c r="C8" s="10" t="s">
        <v>78</v>
      </c>
      <c r="D8" s="5">
        <v>0</v>
      </c>
      <c r="E8" s="15">
        <v>0.3</v>
      </c>
    </row>
    <row r="9" spans="2:5" outlineLevel="1" x14ac:dyDescent="0.25">
      <c r="B9" s="10"/>
      <c r="C9" s="10" t="s">
        <v>79</v>
      </c>
      <c r="D9" s="5">
        <v>0.15</v>
      </c>
      <c r="E9" s="15">
        <v>0.1</v>
      </c>
    </row>
    <row r="10" spans="2:5" outlineLevel="1" x14ac:dyDescent="0.25">
      <c r="B10" s="10"/>
      <c r="C10" s="10" t="s">
        <v>80</v>
      </c>
      <c r="D10" s="5">
        <v>0.2</v>
      </c>
      <c r="E10" s="15">
        <v>0.2</v>
      </c>
    </row>
    <row r="11" spans="2:5" outlineLevel="1" x14ac:dyDescent="0.25">
      <c r="B11" s="10"/>
      <c r="C11" s="10" t="s">
        <v>81</v>
      </c>
      <c r="D11" s="5">
        <v>0.1</v>
      </c>
      <c r="E11" s="15">
        <v>0.1</v>
      </c>
    </row>
    <row r="12" spans="2:5" outlineLevel="1" x14ac:dyDescent="0.25">
      <c r="B12" s="10"/>
      <c r="C12" s="10" t="s">
        <v>82</v>
      </c>
      <c r="D12" s="5">
        <v>0.05</v>
      </c>
      <c r="E12" s="15">
        <v>0.05</v>
      </c>
    </row>
    <row r="13" spans="2:5" outlineLevel="1" x14ac:dyDescent="0.25">
      <c r="B13" s="10"/>
      <c r="C13" s="10" t="s">
        <v>83</v>
      </c>
      <c r="D13" s="5">
        <v>0.2</v>
      </c>
      <c r="E13" s="15">
        <v>0.2</v>
      </c>
    </row>
    <row r="14" spans="2:5" outlineLevel="1" x14ac:dyDescent="0.25">
      <c r="B14" s="10"/>
      <c r="C14" s="10" t="s">
        <v>84</v>
      </c>
      <c r="D14" s="5">
        <v>0.05</v>
      </c>
      <c r="E14" s="15">
        <v>0.05</v>
      </c>
    </row>
    <row r="15" spans="2:5" outlineLevel="1" x14ac:dyDescent="0.25">
      <c r="B15" s="10"/>
      <c r="C15" s="10" t="s">
        <v>85</v>
      </c>
      <c r="D15" s="5">
        <v>0.05</v>
      </c>
      <c r="E15" s="15">
        <v>0.05</v>
      </c>
    </row>
    <row r="16" spans="2:5" outlineLevel="1" x14ac:dyDescent="0.25">
      <c r="B16" s="10"/>
      <c r="C16" s="10" t="s">
        <v>86</v>
      </c>
      <c r="D16" s="5">
        <v>0.05</v>
      </c>
      <c r="E16" s="15">
        <v>0.05</v>
      </c>
    </row>
    <row r="17" spans="2:5" outlineLevel="1" x14ac:dyDescent="0.25">
      <c r="B17" s="10"/>
      <c r="C17" s="10" t="s">
        <v>87</v>
      </c>
      <c r="D17" s="5">
        <v>0.15</v>
      </c>
      <c r="E17" s="15">
        <v>0.15</v>
      </c>
    </row>
    <row r="18" spans="2:5" outlineLevel="1" x14ac:dyDescent="0.25">
      <c r="B18" s="10"/>
      <c r="C18" s="10" t="s">
        <v>88</v>
      </c>
      <c r="D18" s="5">
        <v>0.05</v>
      </c>
      <c r="E18" s="15">
        <v>0.05</v>
      </c>
    </row>
    <row r="19" spans="2:5" outlineLevel="1" x14ac:dyDescent="0.25">
      <c r="B19" s="10"/>
      <c r="C19" s="10" t="s">
        <v>89</v>
      </c>
      <c r="D19" s="5">
        <v>0.05</v>
      </c>
      <c r="E19" s="15">
        <v>0.05</v>
      </c>
    </row>
    <row r="20" spans="2:5" outlineLevel="1" x14ac:dyDescent="0.25">
      <c r="B20" s="10"/>
      <c r="C20" s="10" t="s">
        <v>90</v>
      </c>
      <c r="D20" s="5">
        <v>0.15</v>
      </c>
      <c r="E20" s="15">
        <v>0.15</v>
      </c>
    </row>
    <row r="21" spans="2:5" x14ac:dyDescent="0.25">
      <c r="B21" s="11" t="s">
        <v>96</v>
      </c>
      <c r="C21" s="11"/>
      <c r="D21" s="9"/>
      <c r="E21" s="9"/>
    </row>
    <row r="22" spans="2:5" ht="15.75" outlineLevel="1" thickBot="1" x14ac:dyDescent="0.3">
      <c r="B22" s="12"/>
      <c r="C22" s="12" t="s">
        <v>91</v>
      </c>
      <c r="D22" s="6">
        <v>0</v>
      </c>
      <c r="E22" s="6">
        <v>518.04499999999996</v>
      </c>
    </row>
    <row r="23" spans="2:5" x14ac:dyDescent="0.25">
      <c r="B23" t="s">
        <v>97</v>
      </c>
    </row>
    <row r="24" spans="2:5" x14ac:dyDescent="0.25">
      <c r="B24" t="s">
        <v>98</v>
      </c>
    </row>
    <row r="25" spans="2:5" x14ac:dyDescent="0.25">
      <c r="B25" t="s">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1"/>
  <sheetViews>
    <sheetView tabSelected="1" zoomScale="118" workbookViewId="0">
      <selection activeCell="N15" sqref="N15"/>
    </sheetView>
  </sheetViews>
  <sheetFormatPr defaultRowHeight="15" x14ac:dyDescent="0.25"/>
  <cols>
    <col min="1" max="1" width="13.140625" customWidth="1"/>
    <col min="2" max="2" width="16.28515625" customWidth="1"/>
    <col min="3" max="3" width="9.85546875" customWidth="1"/>
    <col min="4" max="4" width="10.5703125" customWidth="1"/>
    <col min="5" max="5" width="9.85546875" customWidth="1"/>
    <col min="6" max="6" width="14.5703125" bestFit="1" customWidth="1"/>
    <col min="7" max="7" width="7.28515625" customWidth="1"/>
    <col min="8" max="8" width="11.28515625" customWidth="1"/>
    <col min="12" max="12" width="16.5703125" bestFit="1" customWidth="1"/>
  </cols>
  <sheetData>
    <row r="1" spans="1:12" ht="30.75" thickBot="1" x14ac:dyDescent="0.3">
      <c r="A1" s="2" t="s">
        <v>0</v>
      </c>
      <c r="B1" s="2" t="s">
        <v>1</v>
      </c>
      <c r="C1" s="2" t="s">
        <v>2</v>
      </c>
      <c r="D1" s="2" t="s">
        <v>3</v>
      </c>
      <c r="E1" s="2" t="s">
        <v>4</v>
      </c>
      <c r="F1" s="2" t="s">
        <v>5</v>
      </c>
      <c r="G1" s="2" t="s">
        <v>6</v>
      </c>
      <c r="H1" s="2" t="s">
        <v>7</v>
      </c>
      <c r="I1" s="2" t="s">
        <v>8</v>
      </c>
      <c r="J1" s="17" t="s">
        <v>100</v>
      </c>
      <c r="K1" s="17" t="s">
        <v>101</v>
      </c>
      <c r="L1" s="17" t="s">
        <v>102</v>
      </c>
    </row>
    <row r="2" spans="1:12" ht="15.75" thickBot="1" x14ac:dyDescent="0.3">
      <c r="A2" s="1" t="s">
        <v>9</v>
      </c>
      <c r="B2" s="1" t="s">
        <v>10</v>
      </c>
      <c r="C2" s="1" t="s">
        <v>11</v>
      </c>
      <c r="D2" s="1" t="s">
        <v>12</v>
      </c>
      <c r="E2" s="3">
        <v>1036.0899999999999</v>
      </c>
      <c r="F2" s="3">
        <v>4</v>
      </c>
      <c r="G2" s="3">
        <v>0.2</v>
      </c>
      <c r="H2" s="4">
        <v>45392</v>
      </c>
      <c r="I2" s="3">
        <v>331.55</v>
      </c>
      <c r="J2">
        <f>I2+(I2*G2)</f>
        <v>397.86</v>
      </c>
      <c r="K2" s="18">
        <f>(E3-E2)/E2</f>
        <v>6.273586271462904E-2</v>
      </c>
      <c r="L2" s="19">
        <f ca="1">NOW()</f>
        <v>45994.526639351854</v>
      </c>
    </row>
    <row r="3" spans="1:12" ht="15.75" thickBot="1" x14ac:dyDescent="0.3">
      <c r="A3" s="1" t="s">
        <v>13</v>
      </c>
      <c r="B3" s="1" t="s">
        <v>14</v>
      </c>
      <c r="C3" s="1" t="s">
        <v>11</v>
      </c>
      <c r="D3" s="1" t="s">
        <v>15</v>
      </c>
      <c r="E3" s="3">
        <v>1101.0899999999999</v>
      </c>
      <c r="F3" s="3">
        <v>3</v>
      </c>
      <c r="G3" s="3">
        <v>0.2</v>
      </c>
      <c r="H3" s="4">
        <v>45393</v>
      </c>
      <c r="I3" s="3">
        <v>440.51</v>
      </c>
      <c r="J3">
        <f t="shared" ref="J3:J66" si="0">I3+(I3*G3)</f>
        <v>528.61199999999997</v>
      </c>
      <c r="K3" s="18">
        <f t="shared" ref="K3:K66" si="1">(E4-E3)/E3</f>
        <v>-0.35215105032286181</v>
      </c>
      <c r="L3" s="19">
        <f ca="1">NOW()</f>
        <v>45994.526639351854</v>
      </c>
    </row>
    <row r="4" spans="1:12" ht="15.75" thickBot="1" x14ac:dyDescent="0.3">
      <c r="A4" s="1" t="s">
        <v>16</v>
      </c>
      <c r="B4" s="1" t="s">
        <v>17</v>
      </c>
      <c r="C4" s="1" t="s">
        <v>18</v>
      </c>
      <c r="D4" s="1" t="s">
        <v>12</v>
      </c>
      <c r="E4" s="3">
        <v>713.34</v>
      </c>
      <c r="F4" s="3">
        <v>17</v>
      </c>
      <c r="G4" s="3">
        <v>11</v>
      </c>
      <c r="H4" s="4">
        <v>45396</v>
      </c>
      <c r="I4" s="3">
        <v>285.33999999999997</v>
      </c>
      <c r="J4">
        <f t="shared" si="0"/>
        <v>3424.08</v>
      </c>
      <c r="K4" s="18">
        <f t="shared" si="1"/>
        <v>6.6714329772618833E-2</v>
      </c>
    </row>
    <row r="5" spans="1:12" ht="15.75" thickBot="1" x14ac:dyDescent="0.3">
      <c r="A5" s="1" t="s">
        <v>19</v>
      </c>
      <c r="B5" s="1" t="s">
        <v>14</v>
      </c>
      <c r="C5" s="1" t="s">
        <v>20</v>
      </c>
      <c r="D5" s="1" t="s">
        <v>21</v>
      </c>
      <c r="E5" s="3">
        <v>760.93</v>
      </c>
      <c r="F5" s="3">
        <v>4</v>
      </c>
      <c r="G5" s="3">
        <v>0.15</v>
      </c>
      <c r="H5" s="4">
        <v>45396</v>
      </c>
      <c r="I5" s="3">
        <v>161.69999999999999</v>
      </c>
      <c r="J5">
        <f t="shared" si="0"/>
        <v>185.95499999999998</v>
      </c>
      <c r="K5" s="18">
        <f t="shared" si="1"/>
        <v>0.1131115871367932</v>
      </c>
    </row>
    <row r="6" spans="1:12" ht="15.75" thickBot="1" x14ac:dyDescent="0.3">
      <c r="A6" s="1" t="s">
        <v>22</v>
      </c>
      <c r="B6" s="1" t="s">
        <v>23</v>
      </c>
      <c r="C6" s="1" t="s">
        <v>24</v>
      </c>
      <c r="D6" s="1" t="s">
        <v>12</v>
      </c>
      <c r="E6" s="3">
        <v>847</v>
      </c>
      <c r="F6" s="3">
        <v>12</v>
      </c>
      <c r="G6" s="3">
        <v>0.29899999999999999</v>
      </c>
      <c r="H6" s="4">
        <v>45397</v>
      </c>
      <c r="I6" s="3">
        <v>271.04000000000002</v>
      </c>
      <c r="J6">
        <f t="shared" si="0"/>
        <v>352.08096</v>
      </c>
      <c r="K6" s="18">
        <f t="shared" si="1"/>
        <v>0.14007083825265643</v>
      </c>
    </row>
    <row r="7" spans="1:12" ht="30.75" thickBot="1" x14ac:dyDescent="0.3">
      <c r="A7" s="1" t="s">
        <v>25</v>
      </c>
      <c r="B7" s="1" t="s">
        <v>26</v>
      </c>
      <c r="C7" s="1" t="s">
        <v>24</v>
      </c>
      <c r="D7" s="1" t="s">
        <v>27</v>
      </c>
      <c r="E7" s="3">
        <v>965.64</v>
      </c>
      <c r="F7" s="3">
        <v>8</v>
      </c>
      <c r="G7" s="3">
        <v>0.1</v>
      </c>
      <c r="H7" s="4">
        <v>45398</v>
      </c>
      <c r="I7" s="3">
        <v>304.18</v>
      </c>
      <c r="J7">
        <f t="shared" si="0"/>
        <v>334.59800000000001</v>
      </c>
      <c r="K7" s="18">
        <f t="shared" si="1"/>
        <v>0.36441116772296095</v>
      </c>
    </row>
    <row r="8" spans="1:12" ht="15.75" thickBot="1" x14ac:dyDescent="0.3">
      <c r="A8" s="1" t="s">
        <v>28</v>
      </c>
      <c r="B8" s="1" t="s">
        <v>29</v>
      </c>
      <c r="C8" s="1" t="s">
        <v>11</v>
      </c>
      <c r="D8" s="1" t="s">
        <v>21</v>
      </c>
      <c r="E8" s="3">
        <v>1317.53</v>
      </c>
      <c r="F8" s="3">
        <v>12</v>
      </c>
      <c r="G8" s="3">
        <v>0.05</v>
      </c>
      <c r="H8" s="4">
        <v>45398</v>
      </c>
      <c r="I8" s="3">
        <v>312.91000000000003</v>
      </c>
      <c r="J8">
        <f t="shared" si="0"/>
        <v>328.55550000000005</v>
      </c>
      <c r="K8" s="18">
        <f t="shared" si="1"/>
        <v>-0.18448156778213776</v>
      </c>
    </row>
    <row r="9" spans="1:12" ht="15.75" thickBot="1" x14ac:dyDescent="0.3">
      <c r="A9" s="1" t="s">
        <v>30</v>
      </c>
      <c r="B9" s="1" t="s">
        <v>31</v>
      </c>
      <c r="C9" s="1" t="s">
        <v>18</v>
      </c>
      <c r="D9" s="1" t="s">
        <v>27</v>
      </c>
      <c r="E9" s="3">
        <v>1074.47</v>
      </c>
      <c r="F9" s="3">
        <v>6</v>
      </c>
      <c r="G9" s="3">
        <v>0.2</v>
      </c>
      <c r="H9" s="4">
        <v>45401</v>
      </c>
      <c r="I9" s="3">
        <v>300.85000000000002</v>
      </c>
      <c r="J9">
        <f t="shared" si="0"/>
        <v>361.02000000000004</v>
      </c>
      <c r="K9" s="18">
        <f t="shared" si="1"/>
        <v>-0.53322102990311504</v>
      </c>
    </row>
    <row r="10" spans="1:12" ht="15.75" thickBot="1" x14ac:dyDescent="0.3">
      <c r="A10" s="1" t="s">
        <v>32</v>
      </c>
      <c r="B10" s="1" t="s">
        <v>33</v>
      </c>
      <c r="C10" s="1" t="s">
        <v>34</v>
      </c>
      <c r="D10" s="1" t="s">
        <v>12</v>
      </c>
      <c r="E10" s="3">
        <v>501.54</v>
      </c>
      <c r="F10" s="3">
        <v>11</v>
      </c>
      <c r="G10" s="3">
        <v>0.05</v>
      </c>
      <c r="H10" s="4">
        <v>45401</v>
      </c>
      <c r="I10" s="3">
        <v>190.59</v>
      </c>
      <c r="J10">
        <f t="shared" si="0"/>
        <v>200.11950000000002</v>
      </c>
      <c r="K10" s="18">
        <f t="shared" si="1"/>
        <v>0.47009211628185171</v>
      </c>
    </row>
    <row r="11" spans="1:12" ht="15.75" thickBot="1" x14ac:dyDescent="0.3">
      <c r="A11" s="1" t="s">
        <v>35</v>
      </c>
      <c r="B11" s="1" t="s">
        <v>36</v>
      </c>
      <c r="C11" s="1" t="s">
        <v>34</v>
      </c>
      <c r="D11" s="1" t="s">
        <v>15</v>
      </c>
      <c r="E11" s="3">
        <v>737.31</v>
      </c>
      <c r="F11" s="3">
        <v>2</v>
      </c>
      <c r="G11" s="3">
        <v>0.05</v>
      </c>
      <c r="H11" s="4">
        <v>45401</v>
      </c>
      <c r="I11" s="3">
        <v>350.22</v>
      </c>
      <c r="J11">
        <f t="shared" si="0"/>
        <v>367.73100000000005</v>
      </c>
      <c r="K11" s="18">
        <f t="shared" si="1"/>
        <v>1.1331868549185553</v>
      </c>
    </row>
    <row r="12" spans="1:12" ht="30.75" thickBot="1" x14ac:dyDescent="0.3">
      <c r="A12" s="1" t="s">
        <v>37</v>
      </c>
      <c r="B12" s="1" t="s">
        <v>38</v>
      </c>
      <c r="C12" s="1" t="s">
        <v>11</v>
      </c>
      <c r="D12" s="1" t="s">
        <v>39</v>
      </c>
      <c r="E12" s="3">
        <v>1572.82</v>
      </c>
      <c r="F12" s="3">
        <v>6</v>
      </c>
      <c r="G12" s="3">
        <v>0.05</v>
      </c>
      <c r="H12" s="4">
        <v>45402</v>
      </c>
      <c r="I12" s="3">
        <v>672.38</v>
      </c>
      <c r="J12">
        <f t="shared" si="0"/>
        <v>705.99900000000002</v>
      </c>
      <c r="K12" s="18">
        <f t="shared" si="1"/>
        <v>-0.14603705446268475</v>
      </c>
    </row>
    <row r="13" spans="1:12" ht="15.75" thickBot="1" x14ac:dyDescent="0.3">
      <c r="A13" s="1" t="s">
        <v>37</v>
      </c>
      <c r="B13" s="1" t="s">
        <v>36</v>
      </c>
      <c r="C13" s="1" t="s">
        <v>34</v>
      </c>
      <c r="D13" s="1" t="s">
        <v>12</v>
      </c>
      <c r="E13" s="3">
        <v>1343.13</v>
      </c>
      <c r="F13" s="3">
        <v>14</v>
      </c>
      <c r="G13" s="3">
        <v>0.15</v>
      </c>
      <c r="H13" s="4">
        <v>45404</v>
      </c>
      <c r="I13" s="3">
        <v>456.66</v>
      </c>
      <c r="J13">
        <f t="shared" si="0"/>
        <v>525.15899999999999</v>
      </c>
      <c r="K13" s="18">
        <f t="shared" si="1"/>
        <v>-0.11283345618071235</v>
      </c>
    </row>
    <row r="14" spans="1:12" ht="30.75" thickBot="1" x14ac:dyDescent="0.3">
      <c r="A14" s="1" t="s">
        <v>25</v>
      </c>
      <c r="B14" s="1" t="s">
        <v>26</v>
      </c>
      <c r="C14" s="1" t="s">
        <v>34</v>
      </c>
      <c r="D14" s="1" t="s">
        <v>12</v>
      </c>
      <c r="E14" s="3">
        <v>1191.58</v>
      </c>
      <c r="F14" s="3">
        <v>14</v>
      </c>
      <c r="G14" s="3">
        <v>0.05</v>
      </c>
      <c r="H14" s="4">
        <v>45406</v>
      </c>
      <c r="I14" s="3">
        <v>452.8</v>
      </c>
      <c r="J14">
        <f t="shared" si="0"/>
        <v>475.44</v>
      </c>
      <c r="K14" s="18">
        <f t="shared" si="1"/>
        <v>-0.30992463787576158</v>
      </c>
    </row>
    <row r="15" spans="1:12" ht="15.75" thickBot="1" x14ac:dyDescent="0.3">
      <c r="A15" s="1" t="s">
        <v>40</v>
      </c>
      <c r="B15" s="1" t="s">
        <v>14</v>
      </c>
      <c r="C15" s="1" t="s">
        <v>11</v>
      </c>
      <c r="D15" s="1" t="s">
        <v>27</v>
      </c>
      <c r="E15" s="3">
        <v>822.28</v>
      </c>
      <c r="F15" s="3">
        <v>7</v>
      </c>
      <c r="G15" s="3">
        <v>0.05</v>
      </c>
      <c r="H15" s="4">
        <v>45406</v>
      </c>
      <c r="I15" s="3">
        <v>273.41000000000003</v>
      </c>
      <c r="J15">
        <f t="shared" si="0"/>
        <v>287.08050000000003</v>
      </c>
      <c r="K15" s="18">
        <f t="shared" si="1"/>
        <v>-0.36558106727635359</v>
      </c>
    </row>
    <row r="16" spans="1:12" ht="15.75" thickBot="1" x14ac:dyDescent="0.3">
      <c r="A16" s="1" t="s">
        <v>41</v>
      </c>
      <c r="B16" s="1" t="s">
        <v>42</v>
      </c>
      <c r="C16" s="1" t="s">
        <v>24</v>
      </c>
      <c r="D16" s="1" t="s">
        <v>27</v>
      </c>
      <c r="E16" s="3">
        <v>521.66999999999996</v>
      </c>
      <c r="F16" s="3">
        <v>15</v>
      </c>
      <c r="G16" s="3">
        <v>0.15</v>
      </c>
      <c r="H16" s="4">
        <v>45409</v>
      </c>
      <c r="I16" s="3">
        <v>155.19999999999999</v>
      </c>
      <c r="J16">
        <f t="shared" si="0"/>
        <v>178.48</v>
      </c>
      <c r="K16" s="18">
        <f t="shared" si="1"/>
        <v>1.8809975655107638</v>
      </c>
    </row>
    <row r="17" spans="1:11" ht="15.75" thickBot="1" x14ac:dyDescent="0.3">
      <c r="A17" s="1" t="s">
        <v>19</v>
      </c>
      <c r="B17" s="1" t="s">
        <v>43</v>
      </c>
      <c r="C17" s="1" t="s">
        <v>20</v>
      </c>
      <c r="D17" s="1" t="s">
        <v>21</v>
      </c>
      <c r="E17" s="3">
        <v>1502.93</v>
      </c>
      <c r="F17" s="3">
        <v>14</v>
      </c>
      <c r="G17" s="3">
        <v>0.2</v>
      </c>
      <c r="H17" s="4">
        <v>45410</v>
      </c>
      <c r="I17" s="3">
        <v>300.58999999999997</v>
      </c>
      <c r="J17">
        <f t="shared" si="0"/>
        <v>360.70799999999997</v>
      </c>
      <c r="K17" s="18">
        <f t="shared" si="1"/>
        <v>-0.41608724291883187</v>
      </c>
    </row>
    <row r="18" spans="1:11" ht="15.75" thickBot="1" x14ac:dyDescent="0.3">
      <c r="A18" s="1" t="s">
        <v>44</v>
      </c>
      <c r="B18" s="1" t="s">
        <v>14</v>
      </c>
      <c r="C18" s="1" t="s">
        <v>20</v>
      </c>
      <c r="D18" s="1" t="s">
        <v>12</v>
      </c>
      <c r="E18" s="3">
        <v>877.58</v>
      </c>
      <c r="F18" s="3">
        <v>10</v>
      </c>
      <c r="G18" s="3">
        <v>0.15</v>
      </c>
      <c r="H18" s="4">
        <v>45411</v>
      </c>
      <c r="I18" s="3">
        <v>298.38</v>
      </c>
      <c r="J18">
        <f t="shared" si="0"/>
        <v>343.137</v>
      </c>
      <c r="K18" s="18">
        <f t="shared" si="1"/>
        <v>-0.27448209849814259</v>
      </c>
    </row>
    <row r="19" spans="1:11" ht="15.75" thickBot="1" x14ac:dyDescent="0.3">
      <c r="A19" s="1" t="s">
        <v>28</v>
      </c>
      <c r="B19" s="1" t="s">
        <v>45</v>
      </c>
      <c r="C19" s="1" t="s">
        <v>11</v>
      </c>
      <c r="D19" s="1" t="s">
        <v>12</v>
      </c>
      <c r="E19" s="3">
        <v>636.70000000000005</v>
      </c>
      <c r="F19" s="3">
        <v>4</v>
      </c>
      <c r="G19" s="3">
        <v>0.2</v>
      </c>
      <c r="H19" s="4">
        <v>45411</v>
      </c>
      <c r="I19" s="3">
        <v>203.74</v>
      </c>
      <c r="J19">
        <f t="shared" si="0"/>
        <v>244.488</v>
      </c>
      <c r="K19" s="18">
        <f t="shared" si="1"/>
        <v>1.3655410711481075</v>
      </c>
    </row>
    <row r="20" spans="1:11" ht="15.75" thickBot="1" x14ac:dyDescent="0.3">
      <c r="A20" s="1" t="s">
        <v>46</v>
      </c>
      <c r="B20" s="1" t="s">
        <v>47</v>
      </c>
      <c r="C20" s="1" t="s">
        <v>11</v>
      </c>
      <c r="D20" s="1" t="s">
        <v>12</v>
      </c>
      <c r="E20" s="3">
        <v>1506.14</v>
      </c>
      <c r="F20" s="3">
        <v>13</v>
      </c>
      <c r="G20" s="3">
        <v>0.2</v>
      </c>
      <c r="H20" s="4">
        <v>45412</v>
      </c>
      <c r="I20" s="3">
        <v>481.96</v>
      </c>
      <c r="J20">
        <f t="shared" si="0"/>
        <v>578.35199999999998</v>
      </c>
      <c r="K20" s="18">
        <f t="shared" si="1"/>
        <v>-0.57173967891431077</v>
      </c>
    </row>
    <row r="21" spans="1:11" ht="15.75" thickBot="1" x14ac:dyDescent="0.3">
      <c r="A21" s="1" t="s">
        <v>30</v>
      </c>
      <c r="B21" s="1" t="s">
        <v>31</v>
      </c>
      <c r="C21" s="1" t="s">
        <v>34</v>
      </c>
      <c r="D21" s="1" t="s">
        <v>21</v>
      </c>
      <c r="E21" s="3">
        <v>645.02</v>
      </c>
      <c r="F21" s="3">
        <v>4</v>
      </c>
      <c r="G21" s="3">
        <v>0</v>
      </c>
      <c r="H21" s="4">
        <v>45414</v>
      </c>
      <c r="I21" s="3">
        <v>161.26</v>
      </c>
      <c r="J21">
        <f t="shared" si="0"/>
        <v>161.26</v>
      </c>
      <c r="K21" s="18">
        <f t="shared" si="1"/>
        <v>0.47793866856841644</v>
      </c>
    </row>
    <row r="22" spans="1:11" ht="30.75" thickBot="1" x14ac:dyDescent="0.3">
      <c r="A22" s="1" t="s">
        <v>25</v>
      </c>
      <c r="B22" s="1" t="s">
        <v>48</v>
      </c>
      <c r="C22" s="1" t="s">
        <v>20</v>
      </c>
      <c r="D22" s="1" t="s">
        <v>15</v>
      </c>
      <c r="E22" s="3">
        <v>953.3</v>
      </c>
      <c r="F22" s="3">
        <v>11</v>
      </c>
      <c r="G22" s="3">
        <v>0</v>
      </c>
      <c r="H22" s="4">
        <v>45415</v>
      </c>
      <c r="I22" s="3">
        <v>476.65</v>
      </c>
      <c r="J22">
        <f t="shared" si="0"/>
        <v>476.65</v>
      </c>
      <c r="K22" s="18">
        <f t="shared" si="1"/>
        <v>-0.5924053288576524</v>
      </c>
    </row>
    <row r="23" spans="1:11" ht="45.75" thickBot="1" x14ac:dyDescent="0.3">
      <c r="A23" s="1" t="s">
        <v>49</v>
      </c>
      <c r="B23" s="1" t="s">
        <v>14</v>
      </c>
      <c r="C23" s="1" t="s">
        <v>24</v>
      </c>
      <c r="D23" s="1" t="s">
        <v>21</v>
      </c>
      <c r="E23" s="3">
        <v>388.56</v>
      </c>
      <c r="F23" s="3">
        <v>14</v>
      </c>
      <c r="G23" s="3">
        <v>0.15</v>
      </c>
      <c r="H23" s="4">
        <v>45416</v>
      </c>
      <c r="I23" s="3">
        <v>82.57</v>
      </c>
      <c r="J23">
        <f t="shared" si="0"/>
        <v>94.955499999999986</v>
      </c>
      <c r="K23" s="18">
        <f t="shared" si="1"/>
        <v>0.9126261066501955</v>
      </c>
    </row>
    <row r="24" spans="1:11" ht="30.75" thickBot="1" x14ac:dyDescent="0.3">
      <c r="A24" s="1" t="s">
        <v>9</v>
      </c>
      <c r="B24" s="1" t="s">
        <v>31</v>
      </c>
      <c r="C24" s="1" t="s">
        <v>11</v>
      </c>
      <c r="D24" s="1" t="s">
        <v>12</v>
      </c>
      <c r="E24" s="3">
        <v>743.17</v>
      </c>
      <c r="F24" s="3">
        <v>9</v>
      </c>
      <c r="G24" s="3">
        <v>0</v>
      </c>
      <c r="H24" s="4">
        <v>45416</v>
      </c>
      <c r="I24" s="3">
        <v>297.27</v>
      </c>
      <c r="J24">
        <f t="shared" si="0"/>
        <v>297.27</v>
      </c>
      <c r="K24" s="18">
        <f t="shared" si="1"/>
        <v>-4.95176070078178E-2</v>
      </c>
    </row>
    <row r="25" spans="1:11" ht="30.75" thickBot="1" x14ac:dyDescent="0.3">
      <c r="A25" s="1" t="s">
        <v>40</v>
      </c>
      <c r="B25" s="1" t="s">
        <v>31</v>
      </c>
      <c r="C25" s="1" t="s">
        <v>34</v>
      </c>
      <c r="D25" s="1" t="s">
        <v>21</v>
      </c>
      <c r="E25" s="3">
        <v>706.37</v>
      </c>
      <c r="F25" s="3">
        <v>6</v>
      </c>
      <c r="G25" s="3">
        <v>0</v>
      </c>
      <c r="H25" s="4">
        <v>45416</v>
      </c>
      <c r="I25" s="3">
        <v>176.59</v>
      </c>
      <c r="J25">
        <f t="shared" si="0"/>
        <v>176.59</v>
      </c>
      <c r="K25" s="18">
        <f t="shared" si="1"/>
        <v>0.3099508756034372</v>
      </c>
    </row>
    <row r="26" spans="1:11" ht="30.75" thickBot="1" x14ac:dyDescent="0.3">
      <c r="A26" s="1" t="s">
        <v>13</v>
      </c>
      <c r="B26" s="1" t="s">
        <v>31</v>
      </c>
      <c r="C26" s="1" t="s">
        <v>34</v>
      </c>
      <c r="D26" s="1" t="s">
        <v>39</v>
      </c>
      <c r="E26" s="3">
        <v>925.31</v>
      </c>
      <c r="F26" s="3">
        <v>8</v>
      </c>
      <c r="G26" s="3">
        <v>0.1</v>
      </c>
      <c r="H26" s="4">
        <v>45418</v>
      </c>
      <c r="I26" s="3">
        <v>374.75</v>
      </c>
      <c r="J26">
        <f t="shared" si="0"/>
        <v>412.22500000000002</v>
      </c>
      <c r="K26" s="18">
        <f t="shared" si="1"/>
        <v>0.26781294917379034</v>
      </c>
    </row>
    <row r="27" spans="1:11" ht="15.75" thickBot="1" x14ac:dyDescent="0.3">
      <c r="A27" s="1" t="s">
        <v>35</v>
      </c>
      <c r="B27" s="1" t="s">
        <v>50</v>
      </c>
      <c r="C27" s="1" t="s">
        <v>20</v>
      </c>
      <c r="D27" s="1" t="s">
        <v>21</v>
      </c>
      <c r="E27" s="3">
        <v>1173.1199999999999</v>
      </c>
      <c r="F27" s="3">
        <v>18</v>
      </c>
      <c r="G27" s="3">
        <v>0</v>
      </c>
      <c r="H27" s="4">
        <v>45418</v>
      </c>
      <c r="I27" s="3">
        <v>293.27999999999997</v>
      </c>
      <c r="J27">
        <f t="shared" si="0"/>
        <v>293.27999999999997</v>
      </c>
      <c r="K27" s="18">
        <f t="shared" si="1"/>
        <v>-0.42415098199672663</v>
      </c>
    </row>
    <row r="28" spans="1:11" ht="15.75" thickBot="1" x14ac:dyDescent="0.3">
      <c r="A28" s="1" t="s">
        <v>22</v>
      </c>
      <c r="B28" s="1" t="s">
        <v>51</v>
      </c>
      <c r="C28" s="1" t="s">
        <v>24</v>
      </c>
      <c r="D28" s="1" t="s">
        <v>27</v>
      </c>
      <c r="E28" s="3">
        <v>675.54</v>
      </c>
      <c r="F28" s="3">
        <v>17</v>
      </c>
      <c r="G28" s="3">
        <v>0</v>
      </c>
      <c r="H28" s="4">
        <v>45420</v>
      </c>
      <c r="I28" s="3">
        <v>236.44</v>
      </c>
      <c r="J28">
        <f t="shared" si="0"/>
        <v>236.44</v>
      </c>
      <c r="K28" s="18">
        <f t="shared" si="1"/>
        <v>0.3901323385735857</v>
      </c>
    </row>
    <row r="29" spans="1:11" ht="15.75" thickBot="1" x14ac:dyDescent="0.3">
      <c r="A29" s="1" t="s">
        <v>25</v>
      </c>
      <c r="B29" s="1" t="s">
        <v>14</v>
      </c>
      <c r="C29" s="1" t="s">
        <v>34</v>
      </c>
      <c r="D29" s="1" t="s">
        <v>12</v>
      </c>
      <c r="E29" s="3">
        <v>939.09</v>
      </c>
      <c r="F29" s="3">
        <v>2</v>
      </c>
      <c r="G29" s="3">
        <v>0.05</v>
      </c>
      <c r="H29" s="4">
        <v>45422</v>
      </c>
      <c r="I29" s="3">
        <v>356.85</v>
      </c>
      <c r="J29">
        <f t="shared" si="0"/>
        <v>374.6925</v>
      </c>
      <c r="K29" s="18">
        <f t="shared" si="1"/>
        <v>4.7120084336964504E-2</v>
      </c>
    </row>
    <row r="30" spans="1:11" ht="15.75" thickBot="1" x14ac:dyDescent="0.3">
      <c r="A30" s="1" t="s">
        <v>52</v>
      </c>
      <c r="B30" s="1" t="s">
        <v>53</v>
      </c>
      <c r="C30" s="1" t="s">
        <v>18</v>
      </c>
      <c r="D30" s="1" t="s">
        <v>39</v>
      </c>
      <c r="E30" s="3">
        <v>983.34</v>
      </c>
      <c r="F30" s="3">
        <v>19</v>
      </c>
      <c r="G30" s="3">
        <v>0.1</v>
      </c>
      <c r="H30" s="4">
        <v>45426</v>
      </c>
      <c r="I30" s="3">
        <v>398.25</v>
      </c>
      <c r="J30">
        <f t="shared" si="0"/>
        <v>438.07499999999999</v>
      </c>
      <c r="K30" s="18">
        <f t="shared" si="1"/>
        <v>-0.18521569345292574</v>
      </c>
    </row>
    <row r="31" spans="1:11" ht="15.75" thickBot="1" x14ac:dyDescent="0.3">
      <c r="A31" s="1" t="s">
        <v>52</v>
      </c>
      <c r="B31" s="1" t="s">
        <v>23</v>
      </c>
      <c r="C31" s="1" t="s">
        <v>20</v>
      </c>
      <c r="D31" s="1" t="s">
        <v>21</v>
      </c>
      <c r="E31" s="3">
        <v>801.21</v>
      </c>
      <c r="F31" s="3">
        <v>3</v>
      </c>
      <c r="G31" s="3">
        <v>0.2</v>
      </c>
      <c r="H31" s="4">
        <v>45426</v>
      </c>
      <c r="I31" s="3">
        <v>160.24</v>
      </c>
      <c r="J31">
        <f t="shared" si="0"/>
        <v>192.28800000000001</v>
      </c>
      <c r="K31" s="18">
        <f t="shared" si="1"/>
        <v>0.81064889354850789</v>
      </c>
    </row>
    <row r="32" spans="1:11" ht="15.75" thickBot="1" x14ac:dyDescent="0.3">
      <c r="A32" s="1" t="s">
        <v>54</v>
      </c>
      <c r="B32" s="1" t="s">
        <v>55</v>
      </c>
      <c r="C32" s="1" t="s">
        <v>24</v>
      </c>
      <c r="D32" s="1" t="s">
        <v>21</v>
      </c>
      <c r="E32" s="3">
        <v>1450.71</v>
      </c>
      <c r="F32" s="3">
        <v>5</v>
      </c>
      <c r="G32" s="3">
        <v>0.1</v>
      </c>
      <c r="H32" s="4">
        <v>45427</v>
      </c>
      <c r="I32" s="3">
        <v>326.41000000000003</v>
      </c>
      <c r="J32">
        <f t="shared" si="0"/>
        <v>359.05100000000004</v>
      </c>
      <c r="K32" s="18">
        <f t="shared" si="1"/>
        <v>-0.29468329300825113</v>
      </c>
    </row>
    <row r="33" spans="1:11" ht="15.75" thickBot="1" x14ac:dyDescent="0.3">
      <c r="A33" s="1" t="s">
        <v>49</v>
      </c>
      <c r="B33" s="1" t="s">
        <v>56</v>
      </c>
      <c r="C33" s="1" t="s">
        <v>34</v>
      </c>
      <c r="D33" s="1" t="s">
        <v>12</v>
      </c>
      <c r="E33" s="3">
        <v>1023.21</v>
      </c>
      <c r="F33" s="3">
        <v>18</v>
      </c>
      <c r="G33" s="3">
        <v>0.05</v>
      </c>
      <c r="H33" s="4">
        <v>45428</v>
      </c>
      <c r="I33" s="3">
        <v>388.82</v>
      </c>
      <c r="J33">
        <f t="shared" si="0"/>
        <v>408.26099999999997</v>
      </c>
      <c r="K33" s="18">
        <f t="shared" si="1"/>
        <v>-0.16564537094047166</v>
      </c>
    </row>
    <row r="34" spans="1:11" ht="15.75" thickBot="1" x14ac:dyDescent="0.3">
      <c r="A34" s="1" t="s">
        <v>28</v>
      </c>
      <c r="B34" s="1" t="s">
        <v>47</v>
      </c>
      <c r="C34" s="1" t="s">
        <v>11</v>
      </c>
      <c r="D34" s="1" t="s">
        <v>27</v>
      </c>
      <c r="E34" s="3">
        <v>853.72</v>
      </c>
      <c r="F34" s="3">
        <v>5</v>
      </c>
      <c r="G34" s="3">
        <v>0.15</v>
      </c>
      <c r="H34" s="4">
        <v>45428</v>
      </c>
      <c r="I34" s="3">
        <v>253.98</v>
      </c>
      <c r="J34">
        <f t="shared" si="0"/>
        <v>292.077</v>
      </c>
      <c r="K34" s="18">
        <f t="shared" si="1"/>
        <v>0.13373237126926857</v>
      </c>
    </row>
    <row r="35" spans="1:11" ht="15.75" thickBot="1" x14ac:dyDescent="0.3">
      <c r="A35" s="1" t="s">
        <v>57</v>
      </c>
      <c r="B35" s="1" t="s">
        <v>43</v>
      </c>
      <c r="C35" s="1" t="s">
        <v>20</v>
      </c>
      <c r="D35" s="1" t="s">
        <v>21</v>
      </c>
      <c r="E35" s="3">
        <v>967.89</v>
      </c>
      <c r="F35" s="3">
        <v>10</v>
      </c>
      <c r="G35" s="3">
        <v>0.1</v>
      </c>
      <c r="H35" s="4">
        <v>45429</v>
      </c>
      <c r="I35" s="3">
        <v>217.78</v>
      </c>
      <c r="J35">
        <f t="shared" si="0"/>
        <v>239.55799999999999</v>
      </c>
      <c r="K35" s="18">
        <f t="shared" si="1"/>
        <v>0.24074016675448667</v>
      </c>
    </row>
    <row r="36" spans="1:11" ht="30.75" thickBot="1" x14ac:dyDescent="0.3">
      <c r="A36" s="1" t="s">
        <v>58</v>
      </c>
      <c r="B36" s="1" t="s">
        <v>53</v>
      </c>
      <c r="C36" s="1" t="s">
        <v>24</v>
      </c>
      <c r="D36" s="1" t="s">
        <v>39</v>
      </c>
      <c r="E36" s="3">
        <v>1200.9000000000001</v>
      </c>
      <c r="F36" s="3">
        <v>14</v>
      </c>
      <c r="G36" s="3">
        <v>0.05</v>
      </c>
      <c r="H36" s="4">
        <v>45429</v>
      </c>
      <c r="I36" s="3">
        <v>513.38</v>
      </c>
      <c r="J36">
        <f t="shared" si="0"/>
        <v>539.04899999999998</v>
      </c>
      <c r="K36" s="18">
        <f t="shared" si="1"/>
        <v>-0.60664501623782163</v>
      </c>
    </row>
    <row r="37" spans="1:11" ht="30.75" thickBot="1" x14ac:dyDescent="0.3">
      <c r="A37" s="1" t="s">
        <v>13</v>
      </c>
      <c r="B37" s="1" t="s">
        <v>26</v>
      </c>
      <c r="C37" s="1" t="s">
        <v>11</v>
      </c>
      <c r="D37" s="1" t="s">
        <v>12</v>
      </c>
      <c r="E37" s="3">
        <v>472.38</v>
      </c>
      <c r="F37" s="3">
        <v>12</v>
      </c>
      <c r="G37" s="3">
        <v>0.2</v>
      </c>
      <c r="H37" s="4">
        <v>45429</v>
      </c>
      <c r="I37" s="3">
        <v>151.16</v>
      </c>
      <c r="J37">
        <f t="shared" si="0"/>
        <v>181.392</v>
      </c>
      <c r="K37" s="18">
        <f t="shared" si="1"/>
        <v>0.78017697616325832</v>
      </c>
    </row>
    <row r="38" spans="1:11" ht="30.75" thickBot="1" x14ac:dyDescent="0.3">
      <c r="A38" s="1" t="s">
        <v>9</v>
      </c>
      <c r="B38" s="1" t="s">
        <v>55</v>
      </c>
      <c r="C38" s="1" t="s">
        <v>18</v>
      </c>
      <c r="D38" s="1" t="s">
        <v>39</v>
      </c>
      <c r="E38" s="3">
        <v>840.92</v>
      </c>
      <c r="F38" s="3">
        <v>9</v>
      </c>
      <c r="G38" s="3">
        <v>0.05</v>
      </c>
      <c r="H38" s="4">
        <v>45429</v>
      </c>
      <c r="I38" s="3">
        <v>359.49</v>
      </c>
      <c r="J38">
        <f t="shared" si="0"/>
        <v>377.46449999999999</v>
      </c>
      <c r="K38" s="18">
        <f t="shared" si="1"/>
        <v>0.67680635494458452</v>
      </c>
    </row>
    <row r="39" spans="1:11" ht="15.75" thickBot="1" x14ac:dyDescent="0.3">
      <c r="A39" s="1" t="s">
        <v>52</v>
      </c>
      <c r="B39" s="1" t="s">
        <v>48</v>
      </c>
      <c r="C39" s="1" t="s">
        <v>34</v>
      </c>
      <c r="D39" s="1" t="s">
        <v>27</v>
      </c>
      <c r="E39" s="3">
        <v>1410.06</v>
      </c>
      <c r="F39" s="3">
        <v>11</v>
      </c>
      <c r="G39" s="3">
        <v>0.05</v>
      </c>
      <c r="H39" s="4">
        <v>45434</v>
      </c>
      <c r="I39" s="3">
        <v>468.84</v>
      </c>
      <c r="J39">
        <f t="shared" si="0"/>
        <v>492.28199999999998</v>
      </c>
      <c r="K39" s="18">
        <f t="shared" si="1"/>
        <v>-0.4517325503879267</v>
      </c>
    </row>
    <row r="40" spans="1:11" ht="15.75" thickBot="1" x14ac:dyDescent="0.3">
      <c r="A40" s="1" t="s">
        <v>44</v>
      </c>
      <c r="B40" s="1" t="s">
        <v>59</v>
      </c>
      <c r="C40" s="1" t="s">
        <v>34</v>
      </c>
      <c r="D40" s="1" t="s">
        <v>27</v>
      </c>
      <c r="E40" s="3">
        <v>773.09</v>
      </c>
      <c r="F40" s="3">
        <v>13</v>
      </c>
      <c r="G40" s="3">
        <v>0.15</v>
      </c>
      <c r="H40" s="4">
        <v>45434</v>
      </c>
      <c r="I40" s="3">
        <v>229.99</v>
      </c>
      <c r="J40">
        <f t="shared" si="0"/>
        <v>264.48849999999999</v>
      </c>
      <c r="K40" s="18">
        <f t="shared" si="1"/>
        <v>-0.24920772484445547</v>
      </c>
    </row>
    <row r="41" spans="1:11" ht="15.75" thickBot="1" x14ac:dyDescent="0.3">
      <c r="A41" s="1" t="s">
        <v>60</v>
      </c>
      <c r="B41" s="1" t="s">
        <v>61</v>
      </c>
      <c r="C41" s="1" t="s">
        <v>18</v>
      </c>
      <c r="D41" s="1" t="s">
        <v>12</v>
      </c>
      <c r="E41" s="3">
        <v>580.42999999999995</v>
      </c>
      <c r="F41" s="3">
        <v>19</v>
      </c>
      <c r="G41" s="3">
        <v>0.15</v>
      </c>
      <c r="H41" s="4">
        <v>45435</v>
      </c>
      <c r="I41" s="3">
        <v>197.35</v>
      </c>
      <c r="J41">
        <f t="shared" si="0"/>
        <v>226.95249999999999</v>
      </c>
      <c r="K41" s="18">
        <f t="shared" si="1"/>
        <v>0.98337439484520117</v>
      </c>
    </row>
    <row r="42" spans="1:11" ht="15.75" thickBot="1" x14ac:dyDescent="0.3">
      <c r="A42" s="1" t="s">
        <v>19</v>
      </c>
      <c r="B42" s="1" t="s">
        <v>42</v>
      </c>
      <c r="C42" s="1" t="s">
        <v>20</v>
      </c>
      <c r="D42" s="1" t="s">
        <v>12</v>
      </c>
      <c r="E42" s="3">
        <v>1151.21</v>
      </c>
      <c r="F42" s="3">
        <v>15</v>
      </c>
      <c r="G42" s="3">
        <v>0.1</v>
      </c>
      <c r="H42" s="4">
        <v>45445</v>
      </c>
      <c r="I42" s="3">
        <v>414.44</v>
      </c>
      <c r="J42">
        <f t="shared" si="0"/>
        <v>455.88400000000001</v>
      </c>
      <c r="K42" s="18">
        <f t="shared" si="1"/>
        <v>-0.10878119543784368</v>
      </c>
    </row>
    <row r="43" spans="1:11" ht="30.75" thickBot="1" x14ac:dyDescent="0.3">
      <c r="A43" s="1" t="s">
        <v>52</v>
      </c>
      <c r="B43" s="1" t="s">
        <v>23</v>
      </c>
      <c r="C43" s="1" t="s">
        <v>34</v>
      </c>
      <c r="D43" s="1" t="s">
        <v>39</v>
      </c>
      <c r="E43" s="3">
        <v>1025.98</v>
      </c>
      <c r="F43" s="3">
        <v>5</v>
      </c>
      <c r="G43" s="3">
        <v>0.2</v>
      </c>
      <c r="H43" s="4">
        <v>45447</v>
      </c>
      <c r="I43" s="3">
        <v>369.35</v>
      </c>
      <c r="J43">
        <f t="shared" si="0"/>
        <v>443.22</v>
      </c>
      <c r="K43" s="18">
        <f t="shared" si="1"/>
        <v>-0.45766974015088019</v>
      </c>
    </row>
    <row r="44" spans="1:11" ht="30.75" thickBot="1" x14ac:dyDescent="0.3">
      <c r="A44" s="1" t="s">
        <v>40</v>
      </c>
      <c r="B44" s="1" t="s">
        <v>56</v>
      </c>
      <c r="C44" s="1" t="s">
        <v>18</v>
      </c>
      <c r="D44" s="1" t="s">
        <v>39</v>
      </c>
      <c r="E44" s="3">
        <v>556.41999999999996</v>
      </c>
      <c r="F44" s="3">
        <v>11</v>
      </c>
      <c r="G44" s="3">
        <v>0.15</v>
      </c>
      <c r="H44" s="4">
        <v>45447</v>
      </c>
      <c r="I44" s="3">
        <v>212.83</v>
      </c>
      <c r="J44">
        <f t="shared" si="0"/>
        <v>244.75450000000001</v>
      </c>
      <c r="K44" s="18">
        <f t="shared" si="1"/>
        <v>0.51117860608892574</v>
      </c>
    </row>
    <row r="45" spans="1:11" ht="15.75" thickBot="1" x14ac:dyDescent="0.3">
      <c r="A45" s="1" t="s">
        <v>57</v>
      </c>
      <c r="B45" s="1" t="s">
        <v>23</v>
      </c>
      <c r="C45" s="1" t="s">
        <v>34</v>
      </c>
      <c r="D45" s="1" t="s">
        <v>12</v>
      </c>
      <c r="E45" s="3">
        <v>840.85</v>
      </c>
      <c r="F45" s="3">
        <v>19</v>
      </c>
      <c r="G45" s="3">
        <v>0.1</v>
      </c>
      <c r="H45" s="4">
        <v>45448</v>
      </c>
      <c r="I45" s="3">
        <v>302.70999999999998</v>
      </c>
      <c r="J45">
        <f t="shared" si="0"/>
        <v>332.98099999999999</v>
      </c>
      <c r="K45" s="18">
        <f t="shared" si="1"/>
        <v>0.45953499435095435</v>
      </c>
    </row>
    <row r="46" spans="1:11" ht="15.75" thickBot="1" x14ac:dyDescent="0.3">
      <c r="A46" s="1" t="s">
        <v>30</v>
      </c>
      <c r="B46" s="1" t="s">
        <v>61</v>
      </c>
      <c r="C46" s="1" t="s">
        <v>24</v>
      </c>
      <c r="D46" s="1" t="s">
        <v>27</v>
      </c>
      <c r="E46" s="3">
        <v>1227.25</v>
      </c>
      <c r="F46" s="3">
        <v>12</v>
      </c>
      <c r="G46" s="3">
        <v>0.15</v>
      </c>
      <c r="H46" s="4">
        <v>45448</v>
      </c>
      <c r="I46" s="3">
        <v>365.11</v>
      </c>
      <c r="J46">
        <f t="shared" si="0"/>
        <v>419.87650000000002</v>
      </c>
      <c r="K46" s="18">
        <f t="shared" si="1"/>
        <v>-0.3019352210226115</v>
      </c>
    </row>
    <row r="47" spans="1:11" ht="15.75" thickBot="1" x14ac:dyDescent="0.3">
      <c r="A47" s="1" t="s">
        <v>16</v>
      </c>
      <c r="B47" s="1" t="s">
        <v>62</v>
      </c>
      <c r="C47" s="1" t="s">
        <v>34</v>
      </c>
      <c r="D47" s="1" t="s">
        <v>21</v>
      </c>
      <c r="E47" s="3">
        <v>856.7</v>
      </c>
      <c r="F47" s="3">
        <v>2</v>
      </c>
      <c r="G47" s="3">
        <v>0</v>
      </c>
      <c r="H47" s="4">
        <v>45449</v>
      </c>
      <c r="I47" s="3">
        <v>214.18</v>
      </c>
      <c r="J47">
        <f t="shared" si="0"/>
        <v>214.18</v>
      </c>
      <c r="K47" s="18">
        <f t="shared" si="1"/>
        <v>0.4303957044472978</v>
      </c>
    </row>
    <row r="48" spans="1:11" ht="30.75" thickBot="1" x14ac:dyDescent="0.3">
      <c r="A48" s="1" t="s">
        <v>54</v>
      </c>
      <c r="B48" s="1" t="s">
        <v>56</v>
      </c>
      <c r="C48" s="1" t="s">
        <v>34</v>
      </c>
      <c r="D48" s="1" t="s">
        <v>39</v>
      </c>
      <c r="E48" s="3">
        <v>1225.42</v>
      </c>
      <c r="F48" s="3">
        <v>8</v>
      </c>
      <c r="G48" s="3">
        <v>0.15</v>
      </c>
      <c r="H48" s="4">
        <v>45449</v>
      </c>
      <c r="I48" s="3">
        <v>468.72</v>
      </c>
      <c r="J48">
        <f t="shared" si="0"/>
        <v>539.02800000000002</v>
      </c>
      <c r="K48" s="18">
        <f t="shared" si="1"/>
        <v>-0.18267206345579476</v>
      </c>
    </row>
    <row r="49" spans="1:11" ht="30.75" thickBot="1" x14ac:dyDescent="0.3">
      <c r="A49" s="1" t="s">
        <v>63</v>
      </c>
      <c r="B49" s="1" t="s">
        <v>31</v>
      </c>
      <c r="C49" s="1" t="s">
        <v>24</v>
      </c>
      <c r="D49" s="1" t="s">
        <v>39</v>
      </c>
      <c r="E49" s="3">
        <v>1001.57</v>
      </c>
      <c r="F49" s="3">
        <v>12</v>
      </c>
      <c r="G49" s="3">
        <v>0</v>
      </c>
      <c r="H49" s="4">
        <v>45450</v>
      </c>
      <c r="I49" s="3">
        <v>450.71</v>
      </c>
      <c r="J49">
        <f t="shared" si="0"/>
        <v>450.71</v>
      </c>
      <c r="K49" s="18">
        <f t="shared" si="1"/>
        <v>0.18498956638078201</v>
      </c>
    </row>
    <row r="50" spans="1:11" ht="30.75" thickBot="1" x14ac:dyDescent="0.3">
      <c r="A50" s="1" t="s">
        <v>57</v>
      </c>
      <c r="B50" s="1" t="s">
        <v>26</v>
      </c>
      <c r="C50" s="1" t="s">
        <v>18</v>
      </c>
      <c r="D50" s="1" t="s">
        <v>27</v>
      </c>
      <c r="E50" s="3">
        <v>1186.8499999999999</v>
      </c>
      <c r="F50" s="3">
        <v>19</v>
      </c>
      <c r="G50" s="3">
        <v>0.2</v>
      </c>
      <c r="H50" s="4">
        <v>45451</v>
      </c>
      <c r="I50" s="3">
        <v>332.32</v>
      </c>
      <c r="J50">
        <f t="shared" si="0"/>
        <v>398.78399999999999</v>
      </c>
      <c r="K50" s="18">
        <f t="shared" si="1"/>
        <v>-0.34663184058642615</v>
      </c>
    </row>
    <row r="51" spans="1:11" ht="15.75" thickBot="1" x14ac:dyDescent="0.3">
      <c r="A51" s="1" t="s">
        <v>44</v>
      </c>
      <c r="B51" s="1" t="s">
        <v>51</v>
      </c>
      <c r="C51" s="1" t="s">
        <v>20</v>
      </c>
      <c r="D51" s="1" t="s">
        <v>21</v>
      </c>
      <c r="E51" s="3">
        <v>775.45</v>
      </c>
      <c r="F51" s="3">
        <v>6</v>
      </c>
      <c r="G51" s="3">
        <v>0.1</v>
      </c>
      <c r="H51" s="4">
        <v>45457</v>
      </c>
      <c r="I51" s="3">
        <v>174.48</v>
      </c>
      <c r="J51">
        <f t="shared" si="0"/>
        <v>191.928</v>
      </c>
      <c r="K51" s="18">
        <f t="shared" si="1"/>
        <v>0.3172609452575923</v>
      </c>
    </row>
    <row r="52" spans="1:11" ht="15.75" thickBot="1" x14ac:dyDescent="0.3">
      <c r="A52" s="1" t="s">
        <v>25</v>
      </c>
      <c r="B52" s="1" t="s">
        <v>33</v>
      </c>
      <c r="C52" s="1" t="s">
        <v>20</v>
      </c>
      <c r="D52" s="1" t="s">
        <v>21</v>
      </c>
      <c r="E52" s="3">
        <v>1021.47</v>
      </c>
      <c r="F52" s="3">
        <v>6</v>
      </c>
      <c r="G52" s="3">
        <v>0.05</v>
      </c>
      <c r="H52" s="4">
        <v>45461</v>
      </c>
      <c r="I52" s="3">
        <v>242.6</v>
      </c>
      <c r="J52">
        <f t="shared" si="0"/>
        <v>254.73</v>
      </c>
      <c r="K52" s="18">
        <f t="shared" si="1"/>
        <v>0.20083800796890741</v>
      </c>
    </row>
    <row r="53" spans="1:11" ht="15.75" thickBot="1" x14ac:dyDescent="0.3">
      <c r="A53" s="1" t="s">
        <v>58</v>
      </c>
      <c r="B53" s="1" t="s">
        <v>23</v>
      </c>
      <c r="C53" s="1" t="s">
        <v>20</v>
      </c>
      <c r="D53" s="1" t="s">
        <v>15</v>
      </c>
      <c r="E53" s="3">
        <v>1226.6199999999999</v>
      </c>
      <c r="F53" s="3">
        <v>7</v>
      </c>
      <c r="G53" s="3">
        <v>0.1</v>
      </c>
      <c r="H53" s="4">
        <v>45463</v>
      </c>
      <c r="I53" s="3">
        <v>551.98</v>
      </c>
      <c r="J53">
        <f t="shared" si="0"/>
        <v>607.178</v>
      </c>
      <c r="K53" s="18">
        <f t="shared" si="1"/>
        <v>-0.11388204986059239</v>
      </c>
    </row>
    <row r="54" spans="1:11" ht="15.75" thickBot="1" x14ac:dyDescent="0.3">
      <c r="A54" s="1" t="s">
        <v>22</v>
      </c>
      <c r="B54" s="1" t="s">
        <v>64</v>
      </c>
      <c r="C54" s="1" t="s">
        <v>20</v>
      </c>
      <c r="D54" s="1" t="s">
        <v>27</v>
      </c>
      <c r="E54" s="3">
        <v>1086.93</v>
      </c>
      <c r="F54" s="3">
        <v>2</v>
      </c>
      <c r="G54" s="3">
        <v>0</v>
      </c>
      <c r="H54" s="4">
        <v>45464</v>
      </c>
      <c r="I54" s="3">
        <v>380.43</v>
      </c>
      <c r="J54">
        <f t="shared" si="0"/>
        <v>380.43</v>
      </c>
      <c r="K54" s="18">
        <f t="shared" si="1"/>
        <v>-0.13251083326433172</v>
      </c>
    </row>
    <row r="55" spans="1:11" ht="15.75" thickBot="1" x14ac:dyDescent="0.3">
      <c r="A55" s="1" t="s">
        <v>65</v>
      </c>
      <c r="B55" s="1" t="s">
        <v>48</v>
      </c>
      <c r="C55" s="1" t="s">
        <v>11</v>
      </c>
      <c r="D55" s="1" t="s">
        <v>12</v>
      </c>
      <c r="E55" s="3">
        <v>942.9</v>
      </c>
      <c r="F55" s="3">
        <v>18</v>
      </c>
      <c r="G55" s="3">
        <v>0.1</v>
      </c>
      <c r="H55" s="4">
        <v>45466</v>
      </c>
      <c r="I55" s="3">
        <v>339.44</v>
      </c>
      <c r="J55">
        <f t="shared" si="0"/>
        <v>373.38400000000001</v>
      </c>
      <c r="K55" s="18">
        <f t="shared" si="1"/>
        <v>-0.13161522961077529</v>
      </c>
    </row>
    <row r="56" spans="1:11" ht="15.75" thickBot="1" x14ac:dyDescent="0.3">
      <c r="A56" s="1" t="s">
        <v>32</v>
      </c>
      <c r="B56" s="1" t="s">
        <v>38</v>
      </c>
      <c r="C56" s="1" t="s">
        <v>24</v>
      </c>
      <c r="D56" s="1" t="s">
        <v>21</v>
      </c>
      <c r="E56" s="3">
        <v>818.8</v>
      </c>
      <c r="F56" s="3">
        <v>15</v>
      </c>
      <c r="G56" s="3">
        <v>0.15</v>
      </c>
      <c r="H56" s="4">
        <v>45468</v>
      </c>
      <c r="I56" s="3">
        <v>173.99</v>
      </c>
      <c r="J56">
        <f t="shared" si="0"/>
        <v>200.08850000000001</v>
      </c>
      <c r="K56" s="18">
        <f t="shared" si="1"/>
        <v>0.12242305813385444</v>
      </c>
    </row>
    <row r="57" spans="1:11" ht="15.75" thickBot="1" x14ac:dyDescent="0.3">
      <c r="A57" s="1" t="s">
        <v>19</v>
      </c>
      <c r="B57" s="1" t="s">
        <v>14</v>
      </c>
      <c r="C57" s="1" t="s">
        <v>20</v>
      </c>
      <c r="D57" s="1" t="s">
        <v>27</v>
      </c>
      <c r="E57" s="3">
        <v>919.04</v>
      </c>
      <c r="F57" s="3">
        <v>10</v>
      </c>
      <c r="G57" s="3">
        <v>0.2</v>
      </c>
      <c r="H57" s="4">
        <v>45468</v>
      </c>
      <c r="I57" s="3">
        <v>257.33</v>
      </c>
      <c r="J57">
        <f t="shared" si="0"/>
        <v>308.79599999999999</v>
      </c>
      <c r="K57" s="18">
        <f t="shared" si="1"/>
        <v>5.8996344011142093E-2</v>
      </c>
    </row>
    <row r="58" spans="1:11" ht="15.75" thickBot="1" x14ac:dyDescent="0.3">
      <c r="A58" s="1" t="s">
        <v>22</v>
      </c>
      <c r="B58" s="1" t="s">
        <v>66</v>
      </c>
      <c r="C58" s="1" t="s">
        <v>34</v>
      </c>
      <c r="D58" s="1" t="s">
        <v>12</v>
      </c>
      <c r="E58" s="3">
        <v>973.26</v>
      </c>
      <c r="F58" s="3">
        <v>11</v>
      </c>
      <c r="G58" s="3">
        <v>0</v>
      </c>
      <c r="H58" s="4">
        <v>45470</v>
      </c>
      <c r="I58" s="3">
        <v>389.3</v>
      </c>
      <c r="J58">
        <f t="shared" si="0"/>
        <v>389.3</v>
      </c>
      <c r="K58" s="18">
        <f t="shared" si="1"/>
        <v>-0.23801450794237919</v>
      </c>
    </row>
    <row r="59" spans="1:11" ht="15.75" thickBot="1" x14ac:dyDescent="0.3">
      <c r="A59" s="1" t="s">
        <v>41</v>
      </c>
      <c r="B59" s="1" t="s">
        <v>64</v>
      </c>
      <c r="C59" s="1" t="s">
        <v>24</v>
      </c>
      <c r="D59" s="1" t="s">
        <v>21</v>
      </c>
      <c r="E59" s="3">
        <v>741.61</v>
      </c>
      <c r="F59" s="3">
        <v>1</v>
      </c>
      <c r="G59" s="3">
        <v>0.2</v>
      </c>
      <c r="H59" s="4">
        <v>45471</v>
      </c>
      <c r="I59" s="3">
        <v>148.32</v>
      </c>
      <c r="J59">
        <f t="shared" si="0"/>
        <v>177.98399999999998</v>
      </c>
      <c r="K59" s="18">
        <f t="shared" si="1"/>
        <v>0.68393090708054083</v>
      </c>
    </row>
    <row r="60" spans="1:11" ht="15.75" thickBot="1" x14ac:dyDescent="0.3">
      <c r="A60" s="1" t="s">
        <v>67</v>
      </c>
      <c r="B60" s="1" t="s">
        <v>38</v>
      </c>
      <c r="C60" s="1" t="s">
        <v>24</v>
      </c>
      <c r="D60" s="1" t="s">
        <v>12</v>
      </c>
      <c r="E60" s="3">
        <v>1248.82</v>
      </c>
      <c r="F60" s="3">
        <v>2</v>
      </c>
      <c r="G60" s="3">
        <v>0.1</v>
      </c>
      <c r="H60" s="4">
        <v>45473</v>
      </c>
      <c r="I60" s="3">
        <v>449.58</v>
      </c>
      <c r="J60">
        <f t="shared" si="0"/>
        <v>494.53800000000001</v>
      </c>
      <c r="K60" s="18">
        <f t="shared" si="1"/>
        <v>8.9316314600983299E-2</v>
      </c>
    </row>
    <row r="61" spans="1:11" ht="15.75" thickBot="1" x14ac:dyDescent="0.3">
      <c r="A61" s="1" t="s">
        <v>13</v>
      </c>
      <c r="B61" s="1" t="s">
        <v>59</v>
      </c>
      <c r="C61" s="1" t="s">
        <v>11</v>
      </c>
      <c r="D61" s="1" t="s">
        <v>15</v>
      </c>
      <c r="E61" s="3">
        <v>1360.36</v>
      </c>
      <c r="F61" s="3">
        <v>17</v>
      </c>
      <c r="G61" s="3">
        <v>0</v>
      </c>
      <c r="H61" s="4">
        <v>45473</v>
      </c>
      <c r="I61" s="3">
        <v>680.18</v>
      </c>
      <c r="J61">
        <f t="shared" si="0"/>
        <v>680.18</v>
      </c>
      <c r="K61" s="18">
        <f t="shared" si="1"/>
        <v>1.6863183275015479E-2</v>
      </c>
    </row>
    <row r="62" spans="1:11" ht="15.75" thickBot="1" x14ac:dyDescent="0.3">
      <c r="A62" s="1" t="s">
        <v>57</v>
      </c>
      <c r="B62" s="1" t="s">
        <v>31</v>
      </c>
      <c r="C62" s="1" t="s">
        <v>18</v>
      </c>
      <c r="D62" s="1" t="s">
        <v>12</v>
      </c>
      <c r="E62" s="3">
        <v>1383.3</v>
      </c>
      <c r="F62" s="3">
        <v>8</v>
      </c>
      <c r="G62" s="3">
        <v>0.1</v>
      </c>
      <c r="H62" s="4">
        <v>45478</v>
      </c>
      <c r="I62" s="3">
        <v>497.99</v>
      </c>
      <c r="J62">
        <f t="shared" si="0"/>
        <v>547.78899999999999</v>
      </c>
      <c r="K62" s="18">
        <f t="shared" si="1"/>
        <v>-0.64650473505385675</v>
      </c>
    </row>
    <row r="63" spans="1:11" ht="30.75" thickBot="1" x14ac:dyDescent="0.3">
      <c r="A63" s="1" t="s">
        <v>35</v>
      </c>
      <c r="B63" s="1" t="s">
        <v>55</v>
      </c>
      <c r="C63" s="1" t="s">
        <v>34</v>
      </c>
      <c r="D63" s="1" t="s">
        <v>39</v>
      </c>
      <c r="E63" s="3">
        <v>488.99</v>
      </c>
      <c r="F63" s="3">
        <v>9</v>
      </c>
      <c r="G63" s="3">
        <v>0</v>
      </c>
      <c r="H63" s="4">
        <v>45479</v>
      </c>
      <c r="I63" s="3">
        <v>220.05</v>
      </c>
      <c r="J63">
        <f t="shared" si="0"/>
        <v>220.05</v>
      </c>
      <c r="K63" s="18">
        <f t="shared" si="1"/>
        <v>0.90946645125667192</v>
      </c>
    </row>
    <row r="64" spans="1:11" ht="15.75" thickBot="1" x14ac:dyDescent="0.3">
      <c r="A64" s="1" t="s">
        <v>30</v>
      </c>
      <c r="B64" s="1" t="s">
        <v>31</v>
      </c>
      <c r="C64" s="1" t="s">
        <v>18</v>
      </c>
      <c r="D64" s="1" t="s">
        <v>27</v>
      </c>
      <c r="E64" s="3">
        <v>933.71</v>
      </c>
      <c r="F64" s="3">
        <v>17</v>
      </c>
      <c r="G64" s="3">
        <v>0.1</v>
      </c>
      <c r="H64" s="4">
        <v>45481</v>
      </c>
      <c r="I64" s="3">
        <v>294.12</v>
      </c>
      <c r="J64">
        <f t="shared" si="0"/>
        <v>323.53199999999998</v>
      </c>
      <c r="K64" s="18">
        <f t="shared" si="1"/>
        <v>7.6918957706354152E-2</v>
      </c>
    </row>
    <row r="65" spans="1:11" ht="15.75" thickBot="1" x14ac:dyDescent="0.3">
      <c r="A65" s="1" t="s">
        <v>67</v>
      </c>
      <c r="B65" s="1" t="s">
        <v>10</v>
      </c>
      <c r="C65" s="1" t="s">
        <v>11</v>
      </c>
      <c r="D65" s="1" t="s">
        <v>21</v>
      </c>
      <c r="E65" s="3">
        <v>1005.53</v>
      </c>
      <c r="F65" s="3">
        <v>17</v>
      </c>
      <c r="G65" s="3">
        <v>0.2</v>
      </c>
      <c r="H65" s="4">
        <v>45481</v>
      </c>
      <c r="I65" s="3">
        <v>201.11</v>
      </c>
      <c r="J65">
        <f t="shared" si="0"/>
        <v>241.33200000000002</v>
      </c>
      <c r="K65" s="18">
        <f t="shared" si="1"/>
        <v>9.4049904030710119E-2</v>
      </c>
    </row>
    <row r="66" spans="1:11" ht="15.75" thickBot="1" x14ac:dyDescent="0.3">
      <c r="A66" s="1" t="s">
        <v>41</v>
      </c>
      <c r="B66" s="1" t="s">
        <v>61</v>
      </c>
      <c r="C66" s="1" t="s">
        <v>20</v>
      </c>
      <c r="D66" s="1" t="s">
        <v>21</v>
      </c>
      <c r="E66" s="3">
        <v>1100.0999999999999</v>
      </c>
      <c r="F66" s="3">
        <v>5</v>
      </c>
      <c r="G66" s="3">
        <v>0.05</v>
      </c>
      <c r="H66" s="4">
        <v>45482</v>
      </c>
      <c r="I66" s="3">
        <v>261.27</v>
      </c>
      <c r="J66">
        <f t="shared" si="0"/>
        <v>274.33349999999996</v>
      </c>
      <c r="K66" s="18">
        <f t="shared" si="1"/>
        <v>-5.9449140987182868E-2</v>
      </c>
    </row>
    <row r="67" spans="1:11" ht="15.75" thickBot="1" x14ac:dyDescent="0.3">
      <c r="A67" s="1" t="s">
        <v>67</v>
      </c>
      <c r="B67" s="1" t="s">
        <v>23</v>
      </c>
      <c r="C67" s="1" t="s">
        <v>24</v>
      </c>
      <c r="D67" s="1" t="s">
        <v>27</v>
      </c>
      <c r="E67" s="3">
        <v>1034.7</v>
      </c>
      <c r="F67" s="3">
        <v>15</v>
      </c>
      <c r="G67" s="3">
        <v>0.15</v>
      </c>
      <c r="H67" s="4">
        <v>45487</v>
      </c>
      <c r="I67" s="3">
        <v>307.82</v>
      </c>
      <c r="J67">
        <f t="shared" ref="J67:J130" si="2">I67+(I67*G67)</f>
        <v>353.99299999999999</v>
      </c>
      <c r="K67" s="18">
        <f t="shared" ref="K67:K130" si="3">(E68-E67)/E67</f>
        <v>-0.15295254663187396</v>
      </c>
    </row>
    <row r="68" spans="1:11" ht="15.75" thickBot="1" x14ac:dyDescent="0.3">
      <c r="A68" s="1" t="s">
        <v>65</v>
      </c>
      <c r="B68" s="1" t="s">
        <v>31</v>
      </c>
      <c r="C68" s="1" t="s">
        <v>20</v>
      </c>
      <c r="D68" s="1" t="s">
        <v>12</v>
      </c>
      <c r="E68" s="3">
        <v>876.44</v>
      </c>
      <c r="F68" s="3">
        <v>12</v>
      </c>
      <c r="G68" s="3">
        <v>0.05</v>
      </c>
      <c r="H68" s="4">
        <v>45488</v>
      </c>
      <c r="I68" s="3">
        <v>333.05</v>
      </c>
      <c r="J68">
        <f t="shared" si="2"/>
        <v>349.70249999999999</v>
      </c>
      <c r="K68" s="18">
        <f t="shared" si="3"/>
        <v>0.56467071334033114</v>
      </c>
    </row>
    <row r="69" spans="1:11" ht="15.75" thickBot="1" x14ac:dyDescent="0.3">
      <c r="A69" s="1" t="s">
        <v>68</v>
      </c>
      <c r="B69" s="1" t="s">
        <v>55</v>
      </c>
      <c r="C69" s="1" t="s">
        <v>11</v>
      </c>
      <c r="D69" s="1" t="s">
        <v>27</v>
      </c>
      <c r="E69" s="3">
        <v>1371.34</v>
      </c>
      <c r="F69" s="3">
        <v>5</v>
      </c>
      <c r="G69" s="3">
        <v>0.05</v>
      </c>
      <c r="H69" s="4">
        <v>45488</v>
      </c>
      <c r="I69" s="3">
        <v>455.97</v>
      </c>
      <c r="J69">
        <f t="shared" si="2"/>
        <v>478.76850000000002</v>
      </c>
      <c r="K69" s="18">
        <f t="shared" si="3"/>
        <v>-0.25601236746539879</v>
      </c>
    </row>
    <row r="70" spans="1:11" ht="15.75" thickBot="1" x14ac:dyDescent="0.3">
      <c r="A70" s="1" t="s">
        <v>57</v>
      </c>
      <c r="B70" s="1" t="s">
        <v>47</v>
      </c>
      <c r="C70" s="1" t="s">
        <v>24</v>
      </c>
      <c r="D70" s="1" t="s">
        <v>21</v>
      </c>
      <c r="E70" s="3">
        <v>1020.26</v>
      </c>
      <c r="F70" s="3">
        <v>11</v>
      </c>
      <c r="G70" s="3">
        <v>0.05</v>
      </c>
      <c r="H70" s="4">
        <v>45494</v>
      </c>
      <c r="I70" s="3">
        <v>242.31</v>
      </c>
      <c r="J70">
        <f t="shared" si="2"/>
        <v>254.4255</v>
      </c>
      <c r="K70" s="18">
        <f t="shared" si="3"/>
        <v>-0.21117166212534064</v>
      </c>
    </row>
    <row r="71" spans="1:11" ht="30.75" thickBot="1" x14ac:dyDescent="0.3">
      <c r="A71" s="1" t="s">
        <v>44</v>
      </c>
      <c r="B71" s="1" t="s">
        <v>10</v>
      </c>
      <c r="C71" s="1" t="s">
        <v>34</v>
      </c>
      <c r="D71" s="1" t="s">
        <v>39</v>
      </c>
      <c r="E71" s="3">
        <v>804.81</v>
      </c>
      <c r="F71" s="3">
        <v>1</v>
      </c>
      <c r="G71" s="3">
        <v>0.05</v>
      </c>
      <c r="H71" s="4">
        <v>45502</v>
      </c>
      <c r="I71" s="3">
        <v>344.06</v>
      </c>
      <c r="J71">
        <f t="shared" si="2"/>
        <v>361.26299999999998</v>
      </c>
      <c r="K71" s="18">
        <f t="shared" si="3"/>
        <v>-0.24372212074899666</v>
      </c>
    </row>
    <row r="72" spans="1:11" ht="15.75" thickBot="1" x14ac:dyDescent="0.3">
      <c r="A72" s="1" t="s">
        <v>22</v>
      </c>
      <c r="B72" s="1" t="s">
        <v>55</v>
      </c>
      <c r="C72" s="1" t="s">
        <v>34</v>
      </c>
      <c r="D72" s="1" t="s">
        <v>21</v>
      </c>
      <c r="E72" s="3">
        <v>608.66</v>
      </c>
      <c r="F72" s="3">
        <v>1</v>
      </c>
      <c r="G72" s="3">
        <v>0.05</v>
      </c>
      <c r="H72" s="4">
        <v>45503</v>
      </c>
      <c r="I72" s="3">
        <v>144.56</v>
      </c>
      <c r="J72">
        <f t="shared" si="2"/>
        <v>151.78800000000001</v>
      </c>
      <c r="K72" s="18">
        <f t="shared" si="3"/>
        <v>0.61206584957118937</v>
      </c>
    </row>
    <row r="73" spans="1:11" ht="15.75" thickBot="1" x14ac:dyDescent="0.3">
      <c r="A73" s="1" t="s">
        <v>68</v>
      </c>
      <c r="B73" s="1" t="s">
        <v>69</v>
      </c>
      <c r="C73" s="1" t="s">
        <v>20</v>
      </c>
      <c r="D73" s="1" t="s">
        <v>39</v>
      </c>
      <c r="E73" s="3">
        <v>981.2</v>
      </c>
      <c r="F73" s="3">
        <v>19</v>
      </c>
      <c r="G73" s="3">
        <v>0</v>
      </c>
      <c r="H73" s="4">
        <v>45504</v>
      </c>
      <c r="I73" s="3">
        <v>441.54</v>
      </c>
      <c r="J73">
        <f t="shared" si="2"/>
        <v>441.54</v>
      </c>
      <c r="K73" s="18">
        <f t="shared" si="3"/>
        <v>-0.44988789237668164</v>
      </c>
    </row>
    <row r="74" spans="1:11" ht="15.75" thickBot="1" x14ac:dyDescent="0.3">
      <c r="A74" s="1" t="s">
        <v>70</v>
      </c>
      <c r="B74" s="1" t="s">
        <v>55</v>
      </c>
      <c r="C74" s="1" t="s">
        <v>18</v>
      </c>
      <c r="D74" s="1" t="s">
        <v>21</v>
      </c>
      <c r="E74" s="3">
        <v>539.77</v>
      </c>
      <c r="F74" s="3">
        <v>10</v>
      </c>
      <c r="G74" s="3">
        <v>0.15</v>
      </c>
      <c r="H74" s="4">
        <v>45509</v>
      </c>
      <c r="I74" s="3">
        <v>114.7</v>
      </c>
      <c r="J74">
        <f t="shared" si="2"/>
        <v>131.905</v>
      </c>
      <c r="K74" s="18">
        <f t="shared" si="3"/>
        <v>0.4903570039090725</v>
      </c>
    </row>
    <row r="75" spans="1:11" ht="15.75" thickBot="1" x14ac:dyDescent="0.3">
      <c r="A75" s="1" t="s">
        <v>13</v>
      </c>
      <c r="B75" s="1" t="s">
        <v>71</v>
      </c>
      <c r="C75" s="1" t="s">
        <v>20</v>
      </c>
      <c r="D75" s="1" t="s">
        <v>12</v>
      </c>
      <c r="E75" s="3">
        <v>804.45</v>
      </c>
      <c r="F75" s="3">
        <v>5</v>
      </c>
      <c r="G75" s="3">
        <v>0.2</v>
      </c>
      <c r="H75" s="4">
        <v>45509</v>
      </c>
      <c r="I75" s="3">
        <v>257.42</v>
      </c>
      <c r="J75">
        <f t="shared" si="2"/>
        <v>308.904</v>
      </c>
      <c r="K75" s="18">
        <f t="shared" si="3"/>
        <v>0.8976940766983651</v>
      </c>
    </row>
    <row r="76" spans="1:11" ht="15.75" thickBot="1" x14ac:dyDescent="0.3">
      <c r="A76" s="1" t="s">
        <v>70</v>
      </c>
      <c r="B76" s="1" t="s">
        <v>38</v>
      </c>
      <c r="C76" s="1" t="s">
        <v>11</v>
      </c>
      <c r="D76" s="1" t="s">
        <v>21</v>
      </c>
      <c r="E76" s="3">
        <v>1526.6</v>
      </c>
      <c r="F76" s="3">
        <v>13</v>
      </c>
      <c r="G76" s="3">
        <v>0.2</v>
      </c>
      <c r="H76" s="4">
        <v>45512</v>
      </c>
      <c r="I76" s="3">
        <v>305.32</v>
      </c>
      <c r="J76">
        <f t="shared" si="2"/>
        <v>366.38400000000001</v>
      </c>
      <c r="K76" s="18">
        <f t="shared" si="3"/>
        <v>-0.20394340364208041</v>
      </c>
    </row>
    <row r="77" spans="1:11" ht="15.75" thickBot="1" x14ac:dyDescent="0.3">
      <c r="A77" s="1" t="s">
        <v>13</v>
      </c>
      <c r="B77" s="1" t="s">
        <v>29</v>
      </c>
      <c r="C77" s="1" t="s">
        <v>11</v>
      </c>
      <c r="D77" s="1" t="s">
        <v>21</v>
      </c>
      <c r="E77" s="3">
        <v>1215.26</v>
      </c>
      <c r="F77" s="3">
        <v>5</v>
      </c>
      <c r="G77" s="3">
        <v>0.15</v>
      </c>
      <c r="H77" s="4">
        <v>45513</v>
      </c>
      <c r="I77" s="3">
        <v>258.24</v>
      </c>
      <c r="J77">
        <f t="shared" si="2"/>
        <v>296.976</v>
      </c>
      <c r="K77" s="18">
        <f t="shared" si="3"/>
        <v>3.79178118262758E-2</v>
      </c>
    </row>
    <row r="78" spans="1:11" ht="15.75" thickBot="1" x14ac:dyDescent="0.3">
      <c r="A78" s="1" t="s">
        <v>19</v>
      </c>
      <c r="B78" s="1" t="s">
        <v>53</v>
      </c>
      <c r="C78" s="1" t="s">
        <v>34</v>
      </c>
      <c r="D78" s="1" t="s">
        <v>27</v>
      </c>
      <c r="E78" s="3">
        <v>1261.3399999999999</v>
      </c>
      <c r="F78" s="3">
        <v>3</v>
      </c>
      <c r="G78" s="3">
        <v>0</v>
      </c>
      <c r="H78" s="4">
        <v>45519</v>
      </c>
      <c r="I78" s="3">
        <v>441.47</v>
      </c>
      <c r="J78">
        <f t="shared" si="2"/>
        <v>441.47</v>
      </c>
      <c r="K78" s="18">
        <f t="shared" si="3"/>
        <v>-0.589270141278323</v>
      </c>
    </row>
    <row r="79" spans="1:11" ht="15.75" thickBot="1" x14ac:dyDescent="0.3">
      <c r="A79" s="1" t="s">
        <v>72</v>
      </c>
      <c r="B79" s="1" t="s">
        <v>45</v>
      </c>
      <c r="C79" s="1" t="s">
        <v>24</v>
      </c>
      <c r="D79" s="1" t="s">
        <v>27</v>
      </c>
      <c r="E79" s="3">
        <v>518.07000000000005</v>
      </c>
      <c r="F79" s="3">
        <v>7</v>
      </c>
      <c r="G79" s="3">
        <v>0.05</v>
      </c>
      <c r="H79" s="4">
        <v>45522</v>
      </c>
      <c r="I79" s="3">
        <v>172.26</v>
      </c>
      <c r="J79">
        <f t="shared" si="2"/>
        <v>180.87299999999999</v>
      </c>
      <c r="K79" s="18">
        <f t="shared" si="3"/>
        <v>1.1451541297508054</v>
      </c>
    </row>
    <row r="80" spans="1:11" ht="30.75" thickBot="1" x14ac:dyDescent="0.3">
      <c r="A80" s="1" t="s">
        <v>30</v>
      </c>
      <c r="B80" s="1" t="s">
        <v>29</v>
      </c>
      <c r="C80" s="1" t="s">
        <v>11</v>
      </c>
      <c r="D80" s="1" t="s">
        <v>39</v>
      </c>
      <c r="E80" s="3">
        <v>1111.3399999999999</v>
      </c>
      <c r="F80" s="3">
        <v>1</v>
      </c>
      <c r="G80" s="3">
        <v>0</v>
      </c>
      <c r="H80" s="4">
        <v>45523</v>
      </c>
      <c r="I80" s="3">
        <v>500.1</v>
      </c>
      <c r="J80">
        <f t="shared" si="2"/>
        <v>500.1</v>
      </c>
      <c r="K80" s="18">
        <f t="shared" si="3"/>
        <v>0.16208361077618022</v>
      </c>
    </row>
    <row r="81" spans="1:11" ht="15.75" thickBot="1" x14ac:dyDescent="0.3">
      <c r="A81" s="1" t="s">
        <v>22</v>
      </c>
      <c r="B81" s="1" t="s">
        <v>31</v>
      </c>
      <c r="C81" s="1" t="s">
        <v>18</v>
      </c>
      <c r="D81" s="1" t="s">
        <v>15</v>
      </c>
      <c r="E81" s="3">
        <v>1291.47</v>
      </c>
      <c r="F81" s="3">
        <v>18</v>
      </c>
      <c r="G81" s="3">
        <v>0.1</v>
      </c>
      <c r="H81" s="4">
        <v>45526</v>
      </c>
      <c r="I81" s="3">
        <v>581.16</v>
      </c>
      <c r="J81">
        <f t="shared" si="2"/>
        <v>639.27599999999995</v>
      </c>
      <c r="K81" s="18">
        <f t="shared" si="3"/>
        <v>-0.4736927687054287</v>
      </c>
    </row>
    <row r="82" spans="1:11" ht="15.75" thickBot="1" x14ac:dyDescent="0.3">
      <c r="A82" s="1" t="s">
        <v>25</v>
      </c>
      <c r="B82" s="1" t="s">
        <v>55</v>
      </c>
      <c r="C82" s="1" t="s">
        <v>24</v>
      </c>
      <c r="D82" s="1" t="s">
        <v>12</v>
      </c>
      <c r="E82" s="3">
        <v>679.71</v>
      </c>
      <c r="F82" s="3">
        <v>19</v>
      </c>
      <c r="G82" s="3">
        <v>0</v>
      </c>
      <c r="H82" s="4">
        <v>45534</v>
      </c>
      <c r="I82" s="3">
        <v>271.88</v>
      </c>
      <c r="J82">
        <f t="shared" si="2"/>
        <v>271.88</v>
      </c>
      <c r="K82" s="18">
        <f t="shared" si="3"/>
        <v>0.68261464448073439</v>
      </c>
    </row>
    <row r="83" spans="1:11" ht="15.75" thickBot="1" x14ac:dyDescent="0.3">
      <c r="A83" s="1" t="s">
        <v>68</v>
      </c>
      <c r="B83" s="1" t="s">
        <v>33</v>
      </c>
      <c r="C83" s="1" t="s">
        <v>18</v>
      </c>
      <c r="D83" s="1" t="s">
        <v>27</v>
      </c>
      <c r="E83" s="3">
        <v>1143.69</v>
      </c>
      <c r="F83" s="3">
        <v>17</v>
      </c>
      <c r="G83" s="3">
        <v>0</v>
      </c>
      <c r="H83" s="4">
        <v>45534</v>
      </c>
      <c r="I83" s="3">
        <v>400.29</v>
      </c>
      <c r="J83">
        <f t="shared" si="2"/>
        <v>400.29</v>
      </c>
      <c r="K83" s="18">
        <f t="shared" si="3"/>
        <v>-0.30918343257351205</v>
      </c>
    </row>
    <row r="84" spans="1:11" ht="15.75" thickBot="1" x14ac:dyDescent="0.3">
      <c r="A84" s="1" t="s">
        <v>52</v>
      </c>
      <c r="B84" s="1" t="s">
        <v>50</v>
      </c>
      <c r="C84" s="1" t="s">
        <v>34</v>
      </c>
      <c r="D84" s="1" t="s">
        <v>21</v>
      </c>
      <c r="E84" s="3">
        <v>790.08</v>
      </c>
      <c r="F84" s="3">
        <v>7</v>
      </c>
      <c r="G84" s="3">
        <v>0.1</v>
      </c>
      <c r="H84" s="4">
        <v>45536</v>
      </c>
      <c r="I84" s="3">
        <v>177.77</v>
      </c>
      <c r="J84">
        <f t="shared" si="2"/>
        <v>195.54700000000003</v>
      </c>
      <c r="K84" s="18">
        <f t="shared" si="3"/>
        <v>0.35515390846496558</v>
      </c>
    </row>
    <row r="85" spans="1:11" ht="15.75" thickBot="1" x14ac:dyDescent="0.3">
      <c r="A85" s="1" t="s">
        <v>19</v>
      </c>
      <c r="B85" s="1" t="s">
        <v>48</v>
      </c>
      <c r="C85" s="1" t="s">
        <v>34</v>
      </c>
      <c r="D85" s="1" t="s">
        <v>12</v>
      </c>
      <c r="E85" s="3">
        <v>1070.68</v>
      </c>
      <c r="F85" s="3">
        <v>7</v>
      </c>
      <c r="G85" s="3">
        <v>0.05</v>
      </c>
      <c r="H85" s="4">
        <v>45536</v>
      </c>
      <c r="I85" s="3">
        <v>406.86</v>
      </c>
      <c r="J85">
        <f t="shared" si="2"/>
        <v>427.20300000000003</v>
      </c>
      <c r="K85" s="18">
        <f t="shared" si="3"/>
        <v>9.1726753091493279E-2</v>
      </c>
    </row>
    <row r="86" spans="1:11" ht="15.75" thickBot="1" x14ac:dyDescent="0.3">
      <c r="A86" s="1" t="s">
        <v>58</v>
      </c>
      <c r="B86" s="1" t="s">
        <v>36</v>
      </c>
      <c r="C86" s="1" t="s">
        <v>11</v>
      </c>
      <c r="D86" s="1" t="s">
        <v>15</v>
      </c>
      <c r="E86" s="3">
        <v>1168.8900000000001</v>
      </c>
      <c r="F86" s="3">
        <v>4</v>
      </c>
      <c r="G86" s="3">
        <v>0.1</v>
      </c>
      <c r="H86" s="4">
        <v>45544</v>
      </c>
      <c r="I86" s="3">
        <v>526</v>
      </c>
      <c r="J86">
        <f t="shared" si="2"/>
        <v>578.6</v>
      </c>
      <c r="K86" s="18">
        <f t="shared" si="3"/>
        <v>0.14285347637502227</v>
      </c>
    </row>
    <row r="87" spans="1:11" ht="15.75" thickBot="1" x14ac:dyDescent="0.3">
      <c r="A87" s="1" t="s">
        <v>67</v>
      </c>
      <c r="B87" s="1" t="s">
        <v>10</v>
      </c>
      <c r="C87" s="1" t="s">
        <v>20</v>
      </c>
      <c r="D87" s="1" t="s">
        <v>21</v>
      </c>
      <c r="E87" s="3">
        <v>1335.87</v>
      </c>
      <c r="F87" s="3">
        <v>17</v>
      </c>
      <c r="G87" s="3">
        <v>0</v>
      </c>
      <c r="H87" s="4">
        <v>45544</v>
      </c>
      <c r="I87" s="3">
        <v>333.97</v>
      </c>
      <c r="J87">
        <f t="shared" si="2"/>
        <v>333.97</v>
      </c>
      <c r="K87" s="18">
        <f t="shared" si="3"/>
        <v>-0.34596929341926974</v>
      </c>
    </row>
    <row r="88" spans="1:11" ht="15.75" thickBot="1" x14ac:dyDescent="0.3">
      <c r="A88" s="1" t="s">
        <v>40</v>
      </c>
      <c r="B88" s="1" t="s">
        <v>55</v>
      </c>
      <c r="C88" s="1" t="s">
        <v>18</v>
      </c>
      <c r="D88" s="1" t="s">
        <v>27</v>
      </c>
      <c r="E88" s="3">
        <v>873.7</v>
      </c>
      <c r="F88" s="3">
        <v>9</v>
      </c>
      <c r="G88" s="3">
        <v>0</v>
      </c>
      <c r="H88" s="4">
        <v>45546</v>
      </c>
      <c r="I88" s="3">
        <v>305.8</v>
      </c>
      <c r="J88">
        <f t="shared" si="2"/>
        <v>305.8</v>
      </c>
      <c r="K88" s="18">
        <f t="shared" si="3"/>
        <v>0.65271832436763189</v>
      </c>
    </row>
    <row r="89" spans="1:11" ht="30.75" thickBot="1" x14ac:dyDescent="0.3">
      <c r="A89" s="1" t="s">
        <v>72</v>
      </c>
      <c r="B89" s="1" t="s">
        <v>64</v>
      </c>
      <c r="C89" s="1" t="s">
        <v>11</v>
      </c>
      <c r="D89" s="1" t="s">
        <v>39</v>
      </c>
      <c r="E89" s="3">
        <v>1443.98</v>
      </c>
      <c r="F89" s="3">
        <v>19</v>
      </c>
      <c r="G89" s="3">
        <v>0</v>
      </c>
      <c r="H89" s="4">
        <v>45547</v>
      </c>
      <c r="I89" s="3">
        <v>649.79</v>
      </c>
      <c r="J89">
        <f t="shared" si="2"/>
        <v>649.79</v>
      </c>
      <c r="K89" s="18">
        <f t="shared" si="3"/>
        <v>-0.200591420933808</v>
      </c>
    </row>
    <row r="90" spans="1:11" ht="30.75" thickBot="1" x14ac:dyDescent="0.3">
      <c r="A90" s="1" t="s">
        <v>40</v>
      </c>
      <c r="B90" s="1" t="s">
        <v>23</v>
      </c>
      <c r="C90" s="1" t="s">
        <v>18</v>
      </c>
      <c r="D90" s="1" t="s">
        <v>39</v>
      </c>
      <c r="E90" s="3">
        <v>1154.33</v>
      </c>
      <c r="F90" s="3">
        <v>11</v>
      </c>
      <c r="G90" s="3">
        <v>0.15</v>
      </c>
      <c r="H90" s="4">
        <v>45549</v>
      </c>
      <c r="I90" s="3">
        <v>441.53</v>
      </c>
      <c r="J90">
        <f t="shared" si="2"/>
        <v>507.75949999999995</v>
      </c>
      <c r="K90" s="18">
        <f t="shared" si="3"/>
        <v>9.5431982188802236E-2</v>
      </c>
    </row>
    <row r="91" spans="1:11" ht="15.75" thickBot="1" x14ac:dyDescent="0.3">
      <c r="A91" s="1" t="s">
        <v>49</v>
      </c>
      <c r="B91" s="1" t="s">
        <v>50</v>
      </c>
      <c r="C91" s="1" t="s">
        <v>20</v>
      </c>
      <c r="D91" s="1" t="s">
        <v>12</v>
      </c>
      <c r="E91" s="3">
        <v>1264.49</v>
      </c>
      <c r="F91" s="3">
        <v>16</v>
      </c>
      <c r="G91" s="3">
        <v>0.05</v>
      </c>
      <c r="H91" s="4">
        <v>45549</v>
      </c>
      <c r="I91" s="3">
        <v>480.51</v>
      </c>
      <c r="J91">
        <f t="shared" si="2"/>
        <v>504.53550000000001</v>
      </c>
      <c r="K91" s="18">
        <f t="shared" si="3"/>
        <v>-0.12885827487761869</v>
      </c>
    </row>
    <row r="92" spans="1:11" ht="15.75" thickBot="1" x14ac:dyDescent="0.3">
      <c r="A92" s="1" t="s">
        <v>25</v>
      </c>
      <c r="B92" s="1" t="s">
        <v>66</v>
      </c>
      <c r="C92" s="1" t="s">
        <v>11</v>
      </c>
      <c r="D92" s="1" t="s">
        <v>27</v>
      </c>
      <c r="E92" s="3">
        <v>1101.55</v>
      </c>
      <c r="F92" s="3">
        <v>4</v>
      </c>
      <c r="G92" s="3">
        <v>0.1</v>
      </c>
      <c r="H92" s="4">
        <v>45551</v>
      </c>
      <c r="I92" s="3">
        <v>346.99</v>
      </c>
      <c r="J92">
        <f t="shared" si="2"/>
        <v>381.68900000000002</v>
      </c>
      <c r="K92" s="18">
        <f t="shared" si="3"/>
        <v>-0.33935817711406652</v>
      </c>
    </row>
    <row r="93" spans="1:11" ht="15.75" thickBot="1" x14ac:dyDescent="0.3">
      <c r="A93" s="1" t="s">
        <v>73</v>
      </c>
      <c r="B93" s="1" t="s">
        <v>14</v>
      </c>
      <c r="C93" s="1" t="s">
        <v>20</v>
      </c>
      <c r="D93" s="1" t="s">
        <v>27</v>
      </c>
      <c r="E93" s="3">
        <v>727.73</v>
      </c>
      <c r="F93" s="3">
        <v>1</v>
      </c>
      <c r="G93" s="3">
        <v>0.1</v>
      </c>
      <c r="H93" s="4">
        <v>45552</v>
      </c>
      <c r="I93" s="3">
        <v>229.23</v>
      </c>
      <c r="J93">
        <f t="shared" si="2"/>
        <v>252.15299999999999</v>
      </c>
      <c r="K93" s="18">
        <f t="shared" si="3"/>
        <v>0.20293240624957051</v>
      </c>
    </row>
    <row r="94" spans="1:11" ht="30.75" thickBot="1" x14ac:dyDescent="0.3">
      <c r="A94" s="1" t="s">
        <v>74</v>
      </c>
      <c r="B94" s="1" t="s">
        <v>38</v>
      </c>
      <c r="C94" s="1" t="s">
        <v>18</v>
      </c>
      <c r="D94" s="1" t="s">
        <v>39</v>
      </c>
      <c r="E94" s="3">
        <v>875.41</v>
      </c>
      <c r="F94" s="3">
        <v>13</v>
      </c>
      <c r="G94" s="3">
        <v>0.15</v>
      </c>
      <c r="H94" s="4">
        <v>45552</v>
      </c>
      <c r="I94" s="3">
        <v>334.84</v>
      </c>
      <c r="J94">
        <f t="shared" si="2"/>
        <v>385.06599999999997</v>
      </c>
      <c r="K94" s="18">
        <f t="shared" si="3"/>
        <v>0.32388252361750502</v>
      </c>
    </row>
    <row r="95" spans="1:11" ht="15.75" thickBot="1" x14ac:dyDescent="0.3">
      <c r="A95" s="1" t="s">
        <v>67</v>
      </c>
      <c r="B95" s="1" t="s">
        <v>23</v>
      </c>
      <c r="C95" s="1" t="s">
        <v>11</v>
      </c>
      <c r="D95" s="1" t="s">
        <v>21</v>
      </c>
      <c r="E95" s="3">
        <v>1158.94</v>
      </c>
      <c r="F95" s="3">
        <v>19</v>
      </c>
      <c r="G95" s="3">
        <v>0.2</v>
      </c>
      <c r="H95" s="4">
        <v>45553</v>
      </c>
      <c r="I95" s="3">
        <v>231.79</v>
      </c>
      <c r="J95">
        <f t="shared" si="2"/>
        <v>278.14800000000002</v>
      </c>
      <c r="K95" s="18">
        <f t="shared" si="3"/>
        <v>-0.16622085699000819</v>
      </c>
    </row>
    <row r="96" spans="1:11" ht="15.75" thickBot="1" x14ac:dyDescent="0.3">
      <c r="A96" s="1" t="s">
        <v>75</v>
      </c>
      <c r="B96" s="1" t="s">
        <v>47</v>
      </c>
      <c r="C96" s="1" t="s">
        <v>20</v>
      </c>
      <c r="D96" s="1" t="s">
        <v>12</v>
      </c>
      <c r="E96" s="3">
        <v>966.3</v>
      </c>
      <c r="F96" s="3">
        <v>2</v>
      </c>
      <c r="G96" s="3">
        <v>0.15</v>
      </c>
      <c r="H96" s="4">
        <v>45557</v>
      </c>
      <c r="I96" s="3">
        <v>328.54</v>
      </c>
      <c r="J96">
        <f t="shared" si="2"/>
        <v>377.82100000000003</v>
      </c>
      <c r="K96" s="18">
        <f t="shared" si="3"/>
        <v>-5.0522612025250893E-2</v>
      </c>
    </row>
    <row r="97" spans="1:11" ht="15.75" thickBot="1" x14ac:dyDescent="0.3">
      <c r="A97" s="1" t="s">
        <v>68</v>
      </c>
      <c r="B97" s="1" t="s">
        <v>17</v>
      </c>
      <c r="C97" s="1" t="s">
        <v>20</v>
      </c>
      <c r="D97" s="1" t="s">
        <v>12</v>
      </c>
      <c r="E97" s="3">
        <v>917.48</v>
      </c>
      <c r="F97" s="3">
        <v>6</v>
      </c>
      <c r="G97" s="3">
        <v>0</v>
      </c>
      <c r="H97" s="4">
        <v>45558</v>
      </c>
      <c r="I97" s="3">
        <v>366.99</v>
      </c>
      <c r="J97">
        <f t="shared" si="2"/>
        <v>366.99</v>
      </c>
      <c r="K97" s="18">
        <f t="shared" si="3"/>
        <v>0.27846928543401489</v>
      </c>
    </row>
    <row r="98" spans="1:11" ht="15.75" thickBot="1" x14ac:dyDescent="0.3">
      <c r="A98" s="1" t="s">
        <v>41</v>
      </c>
      <c r="B98" s="1" t="s">
        <v>61</v>
      </c>
      <c r="C98" s="1" t="s">
        <v>11</v>
      </c>
      <c r="D98" s="1" t="s">
        <v>27</v>
      </c>
      <c r="E98" s="3">
        <v>1172.97</v>
      </c>
      <c r="F98" s="3">
        <v>7</v>
      </c>
      <c r="G98" s="3">
        <v>0.15</v>
      </c>
      <c r="H98" s="4">
        <v>45559</v>
      </c>
      <c r="I98" s="3">
        <v>348.96</v>
      </c>
      <c r="J98">
        <f t="shared" si="2"/>
        <v>401.30399999999997</v>
      </c>
      <c r="K98" s="18">
        <f t="shared" si="3"/>
        <v>2.8005831351185374E-2</v>
      </c>
    </row>
    <row r="99" spans="1:11" ht="15.75" thickBot="1" x14ac:dyDescent="0.3">
      <c r="A99" s="1" t="s">
        <v>57</v>
      </c>
      <c r="B99" s="1" t="s">
        <v>23</v>
      </c>
      <c r="C99" s="1" t="s">
        <v>24</v>
      </c>
      <c r="D99" s="1" t="s">
        <v>15</v>
      </c>
      <c r="E99" s="3">
        <v>1205.82</v>
      </c>
      <c r="F99" s="3">
        <v>11</v>
      </c>
      <c r="G99" s="3">
        <v>0.1</v>
      </c>
      <c r="H99" s="4">
        <v>45559</v>
      </c>
      <c r="I99" s="3">
        <v>542.62</v>
      </c>
      <c r="J99">
        <f t="shared" si="2"/>
        <v>596.88200000000006</v>
      </c>
      <c r="K99" s="18">
        <f t="shared" si="3"/>
        <v>-0.31421771076943489</v>
      </c>
    </row>
    <row r="100" spans="1:11" ht="30.75" thickBot="1" x14ac:dyDescent="0.3">
      <c r="A100" s="1" t="s">
        <v>16</v>
      </c>
      <c r="B100" s="1" t="s">
        <v>64</v>
      </c>
      <c r="C100" s="1" t="s">
        <v>11</v>
      </c>
      <c r="D100" s="1" t="s">
        <v>39</v>
      </c>
      <c r="E100" s="3">
        <v>826.93</v>
      </c>
      <c r="F100" s="3">
        <v>10</v>
      </c>
      <c r="G100" s="3">
        <v>0.2</v>
      </c>
      <c r="H100" s="4">
        <v>45564</v>
      </c>
      <c r="I100" s="3">
        <v>297.69</v>
      </c>
      <c r="J100">
        <f t="shared" si="2"/>
        <v>357.22800000000001</v>
      </c>
      <c r="K100" s="18">
        <f t="shared" si="3"/>
        <v>9.1011331067926068E-2</v>
      </c>
    </row>
    <row r="101" spans="1:11" ht="15.75" thickBot="1" x14ac:dyDescent="0.3">
      <c r="A101" s="1" t="s">
        <v>67</v>
      </c>
      <c r="B101" s="1" t="s">
        <v>23</v>
      </c>
      <c r="C101" s="1" t="s">
        <v>34</v>
      </c>
      <c r="D101" s="1" t="s">
        <v>15</v>
      </c>
      <c r="E101" s="3">
        <v>902.19</v>
      </c>
      <c r="F101" s="3">
        <v>12</v>
      </c>
      <c r="G101" s="3">
        <v>0</v>
      </c>
      <c r="H101" s="4">
        <v>45564</v>
      </c>
      <c r="I101" s="3">
        <v>451.1</v>
      </c>
      <c r="J101">
        <f t="shared" si="2"/>
        <v>451.1</v>
      </c>
      <c r="K101" s="18">
        <f t="shared" si="3"/>
        <v>-0.35050266573559896</v>
      </c>
    </row>
    <row r="102" spans="1:11" ht="15.75" thickBot="1" x14ac:dyDescent="0.3">
      <c r="A102" s="1" t="s">
        <v>74</v>
      </c>
      <c r="B102" s="1" t="s">
        <v>38</v>
      </c>
      <c r="C102" s="1" t="s">
        <v>24</v>
      </c>
      <c r="D102" s="1" t="s">
        <v>12</v>
      </c>
      <c r="E102" s="3">
        <v>585.97</v>
      </c>
      <c r="F102" s="3">
        <v>17</v>
      </c>
      <c r="G102" s="3">
        <v>0.1</v>
      </c>
      <c r="H102" s="4">
        <v>45565</v>
      </c>
      <c r="I102" s="3">
        <v>210.95</v>
      </c>
      <c r="J102">
        <f t="shared" si="2"/>
        <v>232.04499999999999</v>
      </c>
      <c r="K102" s="18">
        <f t="shared" si="3"/>
        <v>0.6898305373995256</v>
      </c>
    </row>
    <row r="103" spans="1:11" ht="30.75" thickBot="1" x14ac:dyDescent="0.3">
      <c r="A103" s="1" t="s">
        <v>60</v>
      </c>
      <c r="B103" s="1" t="s">
        <v>26</v>
      </c>
      <c r="C103" s="1" t="s">
        <v>24</v>
      </c>
      <c r="D103" s="1" t="s">
        <v>15</v>
      </c>
      <c r="E103" s="3">
        <v>990.19</v>
      </c>
      <c r="F103" s="3">
        <v>8</v>
      </c>
      <c r="G103" s="3">
        <v>0.1</v>
      </c>
      <c r="H103" s="4">
        <v>45565</v>
      </c>
      <c r="I103" s="3">
        <v>445.59</v>
      </c>
      <c r="J103">
        <f t="shared" si="2"/>
        <v>490.149</v>
      </c>
      <c r="K103" s="18">
        <f t="shared" si="3"/>
        <v>2.413678182974982E-2</v>
      </c>
    </row>
    <row r="104" spans="1:11" ht="15.75" thickBot="1" x14ac:dyDescent="0.3">
      <c r="A104" s="1" t="s">
        <v>44</v>
      </c>
      <c r="B104" s="1" t="s">
        <v>56</v>
      </c>
      <c r="C104" s="1" t="s">
        <v>34</v>
      </c>
      <c r="D104" s="1" t="s">
        <v>21</v>
      </c>
      <c r="E104" s="3">
        <v>1014.09</v>
      </c>
      <c r="F104" s="3">
        <v>13</v>
      </c>
      <c r="G104" s="3">
        <v>0.2</v>
      </c>
      <c r="H104" s="4">
        <v>45567</v>
      </c>
      <c r="I104" s="3">
        <v>202.82</v>
      </c>
      <c r="J104">
        <f t="shared" si="2"/>
        <v>243.38399999999999</v>
      </c>
      <c r="K104" s="18">
        <f t="shared" si="3"/>
        <v>-8.7566192349791502E-2</v>
      </c>
    </row>
    <row r="105" spans="1:11" ht="15.75" thickBot="1" x14ac:dyDescent="0.3">
      <c r="A105" s="1" t="s">
        <v>13</v>
      </c>
      <c r="B105" s="1" t="s">
        <v>48</v>
      </c>
      <c r="C105" s="1" t="s">
        <v>24</v>
      </c>
      <c r="D105" s="1" t="s">
        <v>21</v>
      </c>
      <c r="E105" s="3">
        <v>925.29</v>
      </c>
      <c r="F105" s="3">
        <v>17</v>
      </c>
      <c r="G105" s="3">
        <v>0</v>
      </c>
      <c r="H105" s="4">
        <v>45570</v>
      </c>
      <c r="I105" s="3">
        <v>231.32</v>
      </c>
      <c r="J105">
        <f t="shared" si="2"/>
        <v>231.32</v>
      </c>
      <c r="K105" s="18">
        <f t="shared" si="3"/>
        <v>0.39041813917798746</v>
      </c>
    </row>
    <row r="106" spans="1:11" ht="15.75" thickBot="1" x14ac:dyDescent="0.3">
      <c r="A106" s="1" t="s">
        <v>54</v>
      </c>
      <c r="B106" s="1" t="s">
        <v>47</v>
      </c>
      <c r="C106" s="1" t="s">
        <v>18</v>
      </c>
      <c r="D106" s="1" t="s">
        <v>27</v>
      </c>
      <c r="E106" s="3">
        <v>1286.54</v>
      </c>
      <c r="F106" s="3">
        <v>8</v>
      </c>
      <c r="G106" s="3">
        <v>0</v>
      </c>
      <c r="H106" s="4">
        <v>45575</v>
      </c>
      <c r="I106" s="3">
        <v>450.29</v>
      </c>
      <c r="J106">
        <f t="shared" si="2"/>
        <v>450.29</v>
      </c>
      <c r="K106" s="18">
        <f t="shared" si="3"/>
        <v>-0.25255336017535401</v>
      </c>
    </row>
    <row r="107" spans="1:11" ht="15.75" thickBot="1" x14ac:dyDescent="0.3">
      <c r="A107" s="1" t="s">
        <v>37</v>
      </c>
      <c r="B107" s="1" t="s">
        <v>64</v>
      </c>
      <c r="C107" s="1" t="s">
        <v>20</v>
      </c>
      <c r="D107" s="1" t="s">
        <v>12</v>
      </c>
      <c r="E107" s="3">
        <v>961.62</v>
      </c>
      <c r="F107" s="3">
        <v>8</v>
      </c>
      <c r="G107" s="3">
        <v>0.2</v>
      </c>
      <c r="H107" s="4">
        <v>45577</v>
      </c>
      <c r="I107" s="3">
        <v>307.72000000000003</v>
      </c>
      <c r="J107">
        <f t="shared" si="2"/>
        <v>369.26400000000001</v>
      </c>
      <c r="K107" s="18">
        <f t="shared" si="3"/>
        <v>0.12429026018593634</v>
      </c>
    </row>
    <row r="108" spans="1:11" ht="15.75" thickBot="1" x14ac:dyDescent="0.3">
      <c r="A108" s="1" t="s">
        <v>44</v>
      </c>
      <c r="B108" s="1" t="s">
        <v>23</v>
      </c>
      <c r="C108" s="1" t="s">
        <v>18</v>
      </c>
      <c r="D108" s="1" t="s">
        <v>12</v>
      </c>
      <c r="E108" s="3">
        <v>1081.1400000000001</v>
      </c>
      <c r="F108" s="3">
        <v>19</v>
      </c>
      <c r="G108" s="3">
        <v>0.15</v>
      </c>
      <c r="H108" s="4">
        <v>45577</v>
      </c>
      <c r="I108" s="3">
        <v>367.59</v>
      </c>
      <c r="J108">
        <f t="shared" si="2"/>
        <v>422.72849999999994</v>
      </c>
      <c r="K108" s="18">
        <f t="shared" si="3"/>
        <v>0.77928852877518162</v>
      </c>
    </row>
    <row r="109" spans="1:11" ht="15.75" thickBot="1" x14ac:dyDescent="0.3">
      <c r="A109" s="1" t="s">
        <v>58</v>
      </c>
      <c r="B109" s="1" t="s">
        <v>23</v>
      </c>
      <c r="C109" s="1" t="s">
        <v>11</v>
      </c>
      <c r="D109" s="1" t="s">
        <v>15</v>
      </c>
      <c r="E109" s="3">
        <v>1923.66</v>
      </c>
      <c r="F109" s="3">
        <v>9</v>
      </c>
      <c r="G109" s="3">
        <v>0.2</v>
      </c>
      <c r="H109" s="4">
        <v>45580</v>
      </c>
      <c r="I109" s="3">
        <v>769.46</v>
      </c>
      <c r="J109">
        <f t="shared" si="2"/>
        <v>923.35200000000009</v>
      </c>
      <c r="K109" s="18">
        <f t="shared" si="3"/>
        <v>-0.62118565650894653</v>
      </c>
    </row>
    <row r="110" spans="1:11" ht="15.75" thickBot="1" x14ac:dyDescent="0.3">
      <c r="A110" s="1" t="s">
        <v>54</v>
      </c>
      <c r="B110" s="1" t="s">
        <v>66</v>
      </c>
      <c r="C110" s="1" t="s">
        <v>34</v>
      </c>
      <c r="D110" s="1" t="s">
        <v>15</v>
      </c>
      <c r="E110" s="3">
        <v>728.71</v>
      </c>
      <c r="F110" s="3">
        <v>14</v>
      </c>
      <c r="G110" s="3">
        <v>0.1</v>
      </c>
      <c r="H110" s="4">
        <v>45581</v>
      </c>
      <c r="I110" s="3">
        <v>327.92</v>
      </c>
      <c r="J110">
        <f t="shared" si="2"/>
        <v>360.71199999999999</v>
      </c>
      <c r="K110" s="18">
        <f t="shared" si="3"/>
        <v>0.78656804490126397</v>
      </c>
    </row>
    <row r="111" spans="1:11" ht="15.75" thickBot="1" x14ac:dyDescent="0.3">
      <c r="A111" s="1" t="s">
        <v>9</v>
      </c>
      <c r="B111" s="1" t="s">
        <v>33</v>
      </c>
      <c r="C111" s="1" t="s">
        <v>34</v>
      </c>
      <c r="D111" s="1" t="s">
        <v>15</v>
      </c>
      <c r="E111" s="3">
        <v>1301.8900000000001</v>
      </c>
      <c r="F111" s="3">
        <v>7</v>
      </c>
      <c r="G111" s="3">
        <v>0.15</v>
      </c>
      <c r="H111" s="4">
        <v>45581</v>
      </c>
      <c r="I111" s="3">
        <v>553.29999999999995</v>
      </c>
      <c r="J111">
        <f t="shared" si="2"/>
        <v>636.29499999999996</v>
      </c>
      <c r="K111" s="18">
        <f t="shared" si="3"/>
        <v>-0.24710997088847761</v>
      </c>
    </row>
    <row r="112" spans="1:11" ht="15.75" thickBot="1" x14ac:dyDescent="0.3">
      <c r="A112" s="1" t="s">
        <v>70</v>
      </c>
      <c r="B112" s="1" t="s">
        <v>66</v>
      </c>
      <c r="C112" s="1" t="s">
        <v>18</v>
      </c>
      <c r="D112" s="1" t="s">
        <v>12</v>
      </c>
      <c r="E112" s="3">
        <v>980.18</v>
      </c>
      <c r="F112" s="3">
        <v>16</v>
      </c>
      <c r="G112" s="3">
        <v>0.1</v>
      </c>
      <c r="H112" s="4">
        <v>45582</v>
      </c>
      <c r="I112" s="3">
        <v>352.86</v>
      </c>
      <c r="J112">
        <f t="shared" si="2"/>
        <v>388.14600000000002</v>
      </c>
      <c r="K112" s="18">
        <f t="shared" si="3"/>
        <v>-0.28832459344202077</v>
      </c>
    </row>
    <row r="113" spans="1:11" ht="15.75" thickBot="1" x14ac:dyDescent="0.3">
      <c r="A113" s="1" t="s">
        <v>74</v>
      </c>
      <c r="B113" s="1" t="s">
        <v>23</v>
      </c>
      <c r="C113" s="1" t="s">
        <v>11</v>
      </c>
      <c r="D113" s="1" t="s">
        <v>15</v>
      </c>
      <c r="E113" s="3">
        <v>697.57</v>
      </c>
      <c r="F113" s="3">
        <v>17</v>
      </c>
      <c r="G113" s="3">
        <v>0.1</v>
      </c>
      <c r="H113" s="4">
        <v>45584</v>
      </c>
      <c r="I113" s="3">
        <v>313.91000000000003</v>
      </c>
      <c r="J113">
        <f t="shared" si="2"/>
        <v>345.30100000000004</v>
      </c>
      <c r="K113" s="18">
        <f t="shared" si="3"/>
        <v>0.71109709419843148</v>
      </c>
    </row>
    <row r="114" spans="1:11" ht="15.75" thickBot="1" x14ac:dyDescent="0.3">
      <c r="A114" s="1" t="s">
        <v>46</v>
      </c>
      <c r="B114" s="1" t="s">
        <v>71</v>
      </c>
      <c r="C114" s="1" t="s">
        <v>11</v>
      </c>
      <c r="D114" s="1" t="s">
        <v>27</v>
      </c>
      <c r="E114" s="3">
        <v>1193.6099999999999</v>
      </c>
      <c r="F114" s="3">
        <v>1</v>
      </c>
      <c r="G114" s="3">
        <v>0.15</v>
      </c>
      <c r="H114" s="4">
        <v>45584</v>
      </c>
      <c r="I114" s="3">
        <v>355.1</v>
      </c>
      <c r="J114">
        <f t="shared" si="2"/>
        <v>408.36500000000001</v>
      </c>
      <c r="K114" s="18">
        <f t="shared" si="3"/>
        <v>-0.35404361558633052</v>
      </c>
    </row>
    <row r="115" spans="1:11" ht="15.75" thickBot="1" x14ac:dyDescent="0.3">
      <c r="A115" s="1" t="s">
        <v>32</v>
      </c>
      <c r="B115" s="1" t="s">
        <v>38</v>
      </c>
      <c r="C115" s="1" t="s">
        <v>20</v>
      </c>
      <c r="D115" s="1" t="s">
        <v>21</v>
      </c>
      <c r="E115" s="3">
        <v>771.02</v>
      </c>
      <c r="F115" s="3">
        <v>1</v>
      </c>
      <c r="G115" s="3">
        <v>0</v>
      </c>
      <c r="H115" s="4">
        <v>45585</v>
      </c>
      <c r="I115" s="3">
        <v>192.76</v>
      </c>
      <c r="J115">
        <f t="shared" si="2"/>
        <v>192.76</v>
      </c>
      <c r="K115" s="18">
        <f t="shared" si="3"/>
        <v>-0.1425773650488962</v>
      </c>
    </row>
    <row r="116" spans="1:11" ht="15.75" thickBot="1" x14ac:dyDescent="0.3">
      <c r="A116" s="1" t="s">
        <v>67</v>
      </c>
      <c r="B116" s="1" t="s">
        <v>69</v>
      </c>
      <c r="C116" s="1" t="s">
        <v>24</v>
      </c>
      <c r="D116" s="1" t="s">
        <v>15</v>
      </c>
      <c r="E116" s="3">
        <v>661.09</v>
      </c>
      <c r="F116" s="3">
        <v>1</v>
      </c>
      <c r="G116" s="3">
        <v>0.2</v>
      </c>
      <c r="H116" s="4">
        <v>45593</v>
      </c>
      <c r="I116" s="3">
        <v>264.44</v>
      </c>
      <c r="J116">
        <f t="shared" si="2"/>
        <v>317.32799999999997</v>
      </c>
      <c r="K116" s="18">
        <f t="shared" si="3"/>
        <v>4.1961003796759912E-2</v>
      </c>
    </row>
    <row r="117" spans="1:11" ht="15.75" thickBot="1" x14ac:dyDescent="0.3">
      <c r="A117" s="1" t="s">
        <v>13</v>
      </c>
      <c r="B117" s="1" t="s">
        <v>55</v>
      </c>
      <c r="C117" s="1" t="s">
        <v>11</v>
      </c>
      <c r="D117" s="1" t="s">
        <v>21</v>
      </c>
      <c r="E117" s="3">
        <v>688.83</v>
      </c>
      <c r="F117" s="3">
        <v>15</v>
      </c>
      <c r="G117" s="3">
        <v>0</v>
      </c>
      <c r="H117" s="4">
        <v>45595</v>
      </c>
      <c r="I117" s="3">
        <v>172.21</v>
      </c>
      <c r="J117">
        <f t="shared" si="2"/>
        <v>172.21</v>
      </c>
      <c r="K117" s="18">
        <f t="shared" si="3"/>
        <v>0.81336469085260488</v>
      </c>
    </row>
    <row r="118" spans="1:11" ht="15.75" thickBot="1" x14ac:dyDescent="0.3">
      <c r="A118" s="1" t="s">
        <v>73</v>
      </c>
      <c r="B118" s="1" t="s">
        <v>29</v>
      </c>
      <c r="C118" s="1" t="s">
        <v>34</v>
      </c>
      <c r="D118" s="1" t="s">
        <v>12</v>
      </c>
      <c r="E118" s="3">
        <v>1249.0999999999999</v>
      </c>
      <c r="F118" s="3">
        <v>4</v>
      </c>
      <c r="G118" s="3">
        <v>0.05</v>
      </c>
      <c r="H118" s="4">
        <v>45597</v>
      </c>
      <c r="I118" s="3">
        <v>474.66</v>
      </c>
      <c r="J118">
        <f t="shared" si="2"/>
        <v>498.39300000000003</v>
      </c>
      <c r="K118" s="18">
        <f t="shared" si="3"/>
        <v>-0.18803938835961884</v>
      </c>
    </row>
    <row r="119" spans="1:11" ht="30.75" thickBot="1" x14ac:dyDescent="0.3">
      <c r="A119" s="1" t="s">
        <v>44</v>
      </c>
      <c r="B119" s="1" t="s">
        <v>23</v>
      </c>
      <c r="C119" s="1" t="s">
        <v>18</v>
      </c>
      <c r="D119" s="1" t="s">
        <v>39</v>
      </c>
      <c r="E119" s="3">
        <v>1014.22</v>
      </c>
      <c r="F119" s="3">
        <v>14</v>
      </c>
      <c r="G119" s="3">
        <v>0.05</v>
      </c>
      <c r="H119" s="4">
        <v>45599</v>
      </c>
      <c r="I119" s="3">
        <v>433.58</v>
      </c>
      <c r="J119">
        <f t="shared" si="2"/>
        <v>455.25900000000001</v>
      </c>
      <c r="K119" s="18">
        <f t="shared" si="3"/>
        <v>-3.5889649188538841E-3</v>
      </c>
    </row>
    <row r="120" spans="1:11" ht="15.75" thickBot="1" x14ac:dyDescent="0.3">
      <c r="A120" s="1" t="s">
        <v>54</v>
      </c>
      <c r="B120" s="1" t="s">
        <v>48</v>
      </c>
      <c r="C120" s="1" t="s">
        <v>18</v>
      </c>
      <c r="D120" s="1" t="s">
        <v>12</v>
      </c>
      <c r="E120" s="3">
        <v>1010.58</v>
      </c>
      <c r="F120" s="3">
        <v>2</v>
      </c>
      <c r="G120" s="3">
        <v>0.15</v>
      </c>
      <c r="H120" s="4">
        <v>45605</v>
      </c>
      <c r="I120" s="3">
        <v>343.6</v>
      </c>
      <c r="J120">
        <f t="shared" si="2"/>
        <v>395.14000000000004</v>
      </c>
      <c r="K120" s="18">
        <f t="shared" si="3"/>
        <v>-5.2732094440816238E-2</v>
      </c>
    </row>
    <row r="121" spans="1:11" ht="15.75" thickBot="1" x14ac:dyDescent="0.3">
      <c r="A121" s="1" t="s">
        <v>30</v>
      </c>
      <c r="B121" s="1" t="s">
        <v>59</v>
      </c>
      <c r="C121" s="1" t="s">
        <v>24</v>
      </c>
      <c r="D121" s="1" t="s">
        <v>27</v>
      </c>
      <c r="E121" s="3">
        <v>957.29</v>
      </c>
      <c r="F121" s="3">
        <v>4</v>
      </c>
      <c r="G121" s="3">
        <v>0.05</v>
      </c>
      <c r="H121" s="4">
        <v>45605</v>
      </c>
      <c r="I121" s="3">
        <v>318.3</v>
      </c>
      <c r="J121">
        <f t="shared" si="2"/>
        <v>334.21500000000003</v>
      </c>
      <c r="K121" s="18">
        <f t="shared" si="3"/>
        <v>0.12601197129396538</v>
      </c>
    </row>
    <row r="122" spans="1:11" ht="15.75" thickBot="1" x14ac:dyDescent="0.3">
      <c r="A122" s="1" t="s">
        <v>28</v>
      </c>
      <c r="B122" s="1" t="s">
        <v>45</v>
      </c>
      <c r="C122" s="1" t="s">
        <v>24</v>
      </c>
      <c r="D122" s="1" t="s">
        <v>27</v>
      </c>
      <c r="E122" s="3">
        <v>1077.92</v>
      </c>
      <c r="F122" s="3">
        <v>3</v>
      </c>
      <c r="G122" s="3">
        <v>0.05</v>
      </c>
      <c r="H122" s="4">
        <v>45608</v>
      </c>
      <c r="I122" s="3">
        <v>358.41</v>
      </c>
      <c r="J122">
        <f t="shared" si="2"/>
        <v>376.33050000000003</v>
      </c>
      <c r="K122" s="18">
        <f t="shared" si="3"/>
        <v>7.8939067834347551E-2</v>
      </c>
    </row>
    <row r="123" spans="1:11" ht="15.75" thickBot="1" x14ac:dyDescent="0.3">
      <c r="A123" s="1" t="s">
        <v>52</v>
      </c>
      <c r="B123" s="1" t="s">
        <v>50</v>
      </c>
      <c r="C123" s="1" t="s">
        <v>20</v>
      </c>
      <c r="D123" s="1" t="s">
        <v>15</v>
      </c>
      <c r="E123" s="3">
        <v>1163.01</v>
      </c>
      <c r="F123" s="3">
        <v>5</v>
      </c>
      <c r="G123" s="3">
        <v>0</v>
      </c>
      <c r="H123" s="4">
        <v>45611</v>
      </c>
      <c r="I123" s="3">
        <v>581.5</v>
      </c>
      <c r="J123">
        <f t="shared" si="2"/>
        <v>581.5</v>
      </c>
      <c r="K123" s="18">
        <f t="shared" si="3"/>
        <v>-0.12764292654405382</v>
      </c>
    </row>
    <row r="124" spans="1:11" ht="30.75" thickBot="1" x14ac:dyDescent="0.3">
      <c r="A124" s="1" t="s">
        <v>54</v>
      </c>
      <c r="B124" s="1" t="s">
        <v>45</v>
      </c>
      <c r="C124" s="1" t="s">
        <v>18</v>
      </c>
      <c r="D124" s="1" t="s">
        <v>39</v>
      </c>
      <c r="E124" s="3">
        <v>1014.56</v>
      </c>
      <c r="F124" s="3">
        <v>10</v>
      </c>
      <c r="G124" s="3">
        <v>0.1</v>
      </c>
      <c r="H124" s="4">
        <v>45612</v>
      </c>
      <c r="I124" s="3">
        <v>410.9</v>
      </c>
      <c r="J124">
        <f t="shared" si="2"/>
        <v>451.99</v>
      </c>
      <c r="K124" s="18">
        <f t="shared" si="3"/>
        <v>-0.29226462703043682</v>
      </c>
    </row>
    <row r="125" spans="1:11" ht="15.75" thickBot="1" x14ac:dyDescent="0.3">
      <c r="A125" s="1" t="s">
        <v>9</v>
      </c>
      <c r="B125" s="1" t="s">
        <v>17</v>
      </c>
      <c r="C125" s="1" t="s">
        <v>20</v>
      </c>
      <c r="D125" s="1" t="s">
        <v>21</v>
      </c>
      <c r="E125" s="3">
        <v>718.04</v>
      </c>
      <c r="F125" s="3">
        <v>14</v>
      </c>
      <c r="G125" s="3">
        <v>0</v>
      </c>
      <c r="H125" s="4">
        <v>45613</v>
      </c>
      <c r="I125" s="3">
        <v>179.51</v>
      </c>
      <c r="J125">
        <f t="shared" si="2"/>
        <v>179.51</v>
      </c>
      <c r="K125" s="18">
        <f t="shared" si="3"/>
        <v>0.77963623196479304</v>
      </c>
    </row>
    <row r="126" spans="1:11" ht="15.75" thickBot="1" x14ac:dyDescent="0.3">
      <c r="A126" s="1" t="s">
        <v>72</v>
      </c>
      <c r="B126" s="1" t="s">
        <v>17</v>
      </c>
      <c r="C126" s="1" t="s">
        <v>34</v>
      </c>
      <c r="D126" s="1" t="s">
        <v>15</v>
      </c>
      <c r="E126" s="3">
        <v>1277.8499999999999</v>
      </c>
      <c r="F126" s="3">
        <v>18</v>
      </c>
      <c r="G126" s="3">
        <v>0.2</v>
      </c>
      <c r="H126" s="4">
        <v>45613</v>
      </c>
      <c r="I126" s="3">
        <v>511.14</v>
      </c>
      <c r="J126">
        <f t="shared" si="2"/>
        <v>613.36799999999994</v>
      </c>
      <c r="K126" s="18">
        <f t="shared" si="3"/>
        <v>-0.44693821653558707</v>
      </c>
    </row>
    <row r="127" spans="1:11" ht="15.75" thickBot="1" x14ac:dyDescent="0.3">
      <c r="A127" s="1" t="s">
        <v>70</v>
      </c>
      <c r="B127" s="1" t="s">
        <v>23</v>
      </c>
      <c r="C127" s="1" t="s">
        <v>24</v>
      </c>
      <c r="D127" s="1" t="s">
        <v>21</v>
      </c>
      <c r="E127" s="3">
        <v>706.73</v>
      </c>
      <c r="F127" s="3">
        <v>1</v>
      </c>
      <c r="G127" s="3">
        <v>0.15</v>
      </c>
      <c r="H127" s="4">
        <v>45613</v>
      </c>
      <c r="I127" s="3">
        <v>150.18</v>
      </c>
      <c r="J127">
        <f t="shared" si="2"/>
        <v>172.70699999999999</v>
      </c>
      <c r="K127" s="18">
        <f t="shared" si="3"/>
        <v>0.99593904319895843</v>
      </c>
    </row>
    <row r="128" spans="1:11" ht="15.75" thickBot="1" x14ac:dyDescent="0.3">
      <c r="A128" s="1" t="s">
        <v>65</v>
      </c>
      <c r="B128" s="1" t="s">
        <v>50</v>
      </c>
      <c r="C128" s="1" t="s">
        <v>18</v>
      </c>
      <c r="D128" s="1" t="s">
        <v>21</v>
      </c>
      <c r="E128" s="3">
        <v>1410.59</v>
      </c>
      <c r="F128" s="3">
        <v>15</v>
      </c>
      <c r="G128" s="3">
        <v>0</v>
      </c>
      <c r="H128" s="4">
        <v>45615</v>
      </c>
      <c r="I128" s="3">
        <v>352.65</v>
      </c>
      <c r="J128">
        <f t="shared" si="2"/>
        <v>352.65</v>
      </c>
      <c r="K128" s="18">
        <f t="shared" si="3"/>
        <v>-4.2719713027881946E-2</v>
      </c>
    </row>
    <row r="129" spans="1:11" ht="15.75" thickBot="1" x14ac:dyDescent="0.3">
      <c r="A129" s="1" t="s">
        <v>32</v>
      </c>
      <c r="B129" s="1" t="s">
        <v>61</v>
      </c>
      <c r="C129" s="1" t="s">
        <v>20</v>
      </c>
      <c r="D129" s="1" t="s">
        <v>27</v>
      </c>
      <c r="E129" s="3">
        <v>1350.33</v>
      </c>
      <c r="F129" s="3">
        <v>10</v>
      </c>
      <c r="G129" s="3">
        <v>0</v>
      </c>
      <c r="H129" s="4">
        <v>45615</v>
      </c>
      <c r="I129" s="3">
        <v>472.62</v>
      </c>
      <c r="J129">
        <f t="shared" si="2"/>
        <v>472.62</v>
      </c>
      <c r="K129" s="18">
        <f t="shared" si="3"/>
        <v>-0.31929232113631484</v>
      </c>
    </row>
    <row r="130" spans="1:11" ht="15.75" thickBot="1" x14ac:dyDescent="0.3">
      <c r="A130" s="1" t="s">
        <v>41</v>
      </c>
      <c r="B130" s="1" t="s">
        <v>45</v>
      </c>
      <c r="C130" s="1" t="s">
        <v>18</v>
      </c>
      <c r="D130" s="1" t="s">
        <v>21</v>
      </c>
      <c r="E130" s="3">
        <v>919.18</v>
      </c>
      <c r="F130" s="3">
        <v>4</v>
      </c>
      <c r="G130" s="3">
        <v>0.15</v>
      </c>
      <c r="H130" s="4">
        <v>45615</v>
      </c>
      <c r="I130" s="3">
        <v>195.33</v>
      </c>
      <c r="J130">
        <f t="shared" si="2"/>
        <v>224.62950000000001</v>
      </c>
      <c r="K130" s="18">
        <f t="shared" si="3"/>
        <v>-0.71876019930807888</v>
      </c>
    </row>
    <row r="131" spans="1:11" ht="15.75" thickBot="1" x14ac:dyDescent="0.3">
      <c r="A131" s="1" t="s">
        <v>74</v>
      </c>
      <c r="B131" s="1" t="s">
        <v>23</v>
      </c>
      <c r="C131" s="1" t="s">
        <v>11</v>
      </c>
      <c r="D131" s="1" t="s">
        <v>21</v>
      </c>
      <c r="E131" s="3">
        <v>258.51</v>
      </c>
      <c r="F131" s="3">
        <v>19</v>
      </c>
      <c r="G131" s="3">
        <v>0</v>
      </c>
      <c r="H131" s="4">
        <v>45616</v>
      </c>
      <c r="I131" s="3">
        <v>64.63</v>
      </c>
      <c r="J131">
        <f t="shared" ref="J131:J194" si="4">I131+(I131*G131)</f>
        <v>64.63</v>
      </c>
      <c r="K131" s="18">
        <f t="shared" ref="K131:K194" si="5">(E132-E131)/E131</f>
        <v>3.6941317550578319</v>
      </c>
    </row>
    <row r="132" spans="1:11" ht="15.75" thickBot="1" x14ac:dyDescent="0.3">
      <c r="A132" s="1" t="s">
        <v>63</v>
      </c>
      <c r="B132" s="1" t="s">
        <v>61</v>
      </c>
      <c r="C132" s="1" t="s">
        <v>18</v>
      </c>
      <c r="D132" s="1" t="s">
        <v>12</v>
      </c>
      <c r="E132" s="3">
        <v>1213.48</v>
      </c>
      <c r="F132" s="3">
        <v>5</v>
      </c>
      <c r="G132" s="3">
        <v>0.05</v>
      </c>
      <c r="H132" s="4">
        <v>45616</v>
      </c>
      <c r="I132" s="3">
        <v>461.12</v>
      </c>
      <c r="J132">
        <f t="shared" si="4"/>
        <v>484.17599999999999</v>
      </c>
      <c r="K132" s="18">
        <f t="shared" si="5"/>
        <v>-5.2081616507894689E-2</v>
      </c>
    </row>
    <row r="133" spans="1:11" ht="15.75" thickBot="1" x14ac:dyDescent="0.3">
      <c r="A133" s="1" t="s">
        <v>57</v>
      </c>
      <c r="B133" s="1" t="s">
        <v>38</v>
      </c>
      <c r="C133" s="1" t="s">
        <v>34</v>
      </c>
      <c r="D133" s="1" t="s">
        <v>12</v>
      </c>
      <c r="E133" s="3">
        <v>1150.28</v>
      </c>
      <c r="F133" s="3">
        <v>8</v>
      </c>
      <c r="G133" s="3">
        <v>0.05</v>
      </c>
      <c r="H133" s="4">
        <v>45622</v>
      </c>
      <c r="I133" s="3">
        <v>437.11</v>
      </c>
      <c r="J133">
        <f t="shared" si="4"/>
        <v>458.96550000000002</v>
      </c>
      <c r="K133" s="18">
        <f t="shared" si="5"/>
        <v>-0.25769377890600548</v>
      </c>
    </row>
    <row r="134" spans="1:11" ht="15.75" thickBot="1" x14ac:dyDescent="0.3">
      <c r="A134" s="1" t="s">
        <v>37</v>
      </c>
      <c r="B134" s="1" t="s">
        <v>71</v>
      </c>
      <c r="C134" s="1" t="s">
        <v>20</v>
      </c>
      <c r="D134" s="1" t="s">
        <v>27</v>
      </c>
      <c r="E134" s="3">
        <v>853.86</v>
      </c>
      <c r="F134" s="3">
        <v>8</v>
      </c>
      <c r="G134" s="3">
        <v>0.1</v>
      </c>
      <c r="H134" s="4">
        <v>45622</v>
      </c>
      <c r="I134" s="3">
        <v>268.97000000000003</v>
      </c>
      <c r="J134">
        <f t="shared" si="4"/>
        <v>295.86700000000002</v>
      </c>
      <c r="K134" s="18">
        <f t="shared" si="5"/>
        <v>0.24263930855175314</v>
      </c>
    </row>
    <row r="135" spans="1:11" ht="15.75" thickBot="1" x14ac:dyDescent="0.3">
      <c r="A135" s="1" t="s">
        <v>75</v>
      </c>
      <c r="B135" s="1" t="s">
        <v>45</v>
      </c>
      <c r="C135" s="1" t="s">
        <v>20</v>
      </c>
      <c r="D135" s="1" t="s">
        <v>21</v>
      </c>
      <c r="E135" s="3">
        <v>1061.04</v>
      </c>
      <c r="F135" s="3">
        <v>1</v>
      </c>
      <c r="G135" s="3">
        <v>0</v>
      </c>
      <c r="H135" s="4">
        <v>45624</v>
      </c>
      <c r="I135" s="3">
        <v>265.26</v>
      </c>
      <c r="J135">
        <f t="shared" si="4"/>
        <v>265.26</v>
      </c>
      <c r="K135" s="18">
        <f t="shared" si="5"/>
        <v>-0.15691208625499511</v>
      </c>
    </row>
    <row r="136" spans="1:11" ht="15.75" thickBot="1" x14ac:dyDescent="0.3">
      <c r="A136" s="1" t="s">
        <v>28</v>
      </c>
      <c r="B136" s="1" t="s">
        <v>43</v>
      </c>
      <c r="C136" s="1" t="s">
        <v>11</v>
      </c>
      <c r="D136" s="1" t="s">
        <v>21</v>
      </c>
      <c r="E136" s="3">
        <v>894.55</v>
      </c>
      <c r="F136" s="3">
        <v>19</v>
      </c>
      <c r="G136" s="3">
        <v>0.2</v>
      </c>
      <c r="H136" s="4">
        <v>45625</v>
      </c>
      <c r="I136" s="3">
        <v>178.91</v>
      </c>
      <c r="J136">
        <f t="shared" si="4"/>
        <v>214.69200000000001</v>
      </c>
      <c r="K136" s="18">
        <f t="shared" si="5"/>
        <v>-6.778827343356994E-2</v>
      </c>
    </row>
    <row r="137" spans="1:11" ht="15.75" thickBot="1" x14ac:dyDescent="0.3">
      <c r="A137" s="1" t="s">
        <v>25</v>
      </c>
      <c r="B137" s="1" t="s">
        <v>38</v>
      </c>
      <c r="C137" s="1" t="s">
        <v>24</v>
      </c>
      <c r="D137" s="1" t="s">
        <v>39</v>
      </c>
      <c r="E137" s="3">
        <v>833.91</v>
      </c>
      <c r="F137" s="3">
        <v>3</v>
      </c>
      <c r="G137" s="3">
        <v>0.05</v>
      </c>
      <c r="H137" s="4">
        <v>45626</v>
      </c>
      <c r="I137" s="3">
        <v>356.5</v>
      </c>
      <c r="J137">
        <f t="shared" si="4"/>
        <v>374.32499999999999</v>
      </c>
      <c r="K137" s="18">
        <f t="shared" si="5"/>
        <v>-1.6452614790564826E-2</v>
      </c>
    </row>
    <row r="138" spans="1:11" ht="15.75" thickBot="1" x14ac:dyDescent="0.3">
      <c r="A138" s="1" t="s">
        <v>58</v>
      </c>
      <c r="B138" s="1" t="s">
        <v>71</v>
      </c>
      <c r="C138" s="1" t="s">
        <v>11</v>
      </c>
      <c r="D138" s="1" t="s">
        <v>27</v>
      </c>
      <c r="E138" s="3">
        <v>820.19</v>
      </c>
      <c r="F138" s="3">
        <v>4</v>
      </c>
      <c r="G138" s="3">
        <v>0.2</v>
      </c>
      <c r="H138" s="4">
        <v>45630</v>
      </c>
      <c r="I138" s="3">
        <v>229.65</v>
      </c>
      <c r="J138">
        <f t="shared" si="4"/>
        <v>275.58000000000004</v>
      </c>
      <c r="K138" s="18">
        <f t="shared" si="5"/>
        <v>-0.37607139809068635</v>
      </c>
    </row>
    <row r="139" spans="1:11" ht="15.75" thickBot="1" x14ac:dyDescent="0.3">
      <c r="A139" s="1" t="s">
        <v>58</v>
      </c>
      <c r="B139" s="1" t="s">
        <v>38</v>
      </c>
      <c r="C139" s="1" t="s">
        <v>34</v>
      </c>
      <c r="D139" s="1" t="s">
        <v>21</v>
      </c>
      <c r="E139" s="3">
        <v>511.74</v>
      </c>
      <c r="F139" s="3">
        <v>8</v>
      </c>
      <c r="G139" s="3">
        <v>0.05</v>
      </c>
      <c r="H139" s="4">
        <v>45631</v>
      </c>
      <c r="I139" s="3">
        <v>121.54</v>
      </c>
      <c r="J139">
        <f t="shared" si="4"/>
        <v>127.617</v>
      </c>
      <c r="K139" s="18">
        <f t="shared" si="5"/>
        <v>0.57507718763434545</v>
      </c>
    </row>
    <row r="140" spans="1:11" ht="15.75" thickBot="1" x14ac:dyDescent="0.3">
      <c r="A140" s="1" t="s">
        <v>65</v>
      </c>
      <c r="B140" s="1" t="s">
        <v>61</v>
      </c>
      <c r="C140" s="1" t="s">
        <v>20</v>
      </c>
      <c r="D140" s="1" t="s">
        <v>27</v>
      </c>
      <c r="E140" s="3">
        <v>806.03</v>
      </c>
      <c r="F140" s="3">
        <v>19</v>
      </c>
      <c r="G140" s="3">
        <v>0.05</v>
      </c>
      <c r="H140" s="4">
        <v>45638</v>
      </c>
      <c r="I140" s="3">
        <v>268</v>
      </c>
      <c r="J140">
        <f t="shared" si="4"/>
        <v>281.39999999999998</v>
      </c>
      <c r="K140" s="18">
        <f t="shared" si="5"/>
        <v>0.77719191593365022</v>
      </c>
    </row>
    <row r="141" spans="1:11" ht="30.75" thickBot="1" x14ac:dyDescent="0.3">
      <c r="A141" s="1" t="s">
        <v>28</v>
      </c>
      <c r="B141" s="1" t="s">
        <v>26</v>
      </c>
      <c r="C141" s="1" t="s">
        <v>34</v>
      </c>
      <c r="D141" s="1" t="s">
        <v>27</v>
      </c>
      <c r="E141" s="3">
        <v>1432.47</v>
      </c>
      <c r="F141" s="3">
        <v>16</v>
      </c>
      <c r="G141" s="3">
        <v>0.15</v>
      </c>
      <c r="H141" s="4">
        <v>45640</v>
      </c>
      <c r="I141" s="3">
        <v>426.16</v>
      </c>
      <c r="J141">
        <f t="shared" si="4"/>
        <v>490.084</v>
      </c>
      <c r="K141" s="18">
        <f t="shared" si="5"/>
        <v>3.9170104784044271E-2</v>
      </c>
    </row>
    <row r="142" spans="1:11" ht="15.75" thickBot="1" x14ac:dyDescent="0.3">
      <c r="A142" s="1" t="s">
        <v>74</v>
      </c>
      <c r="B142" s="1" t="s">
        <v>29</v>
      </c>
      <c r="C142" s="1" t="s">
        <v>34</v>
      </c>
      <c r="D142" s="1" t="s">
        <v>21</v>
      </c>
      <c r="E142" s="3">
        <v>1488.58</v>
      </c>
      <c r="F142" s="3">
        <v>10</v>
      </c>
      <c r="G142" s="3">
        <v>0.15</v>
      </c>
      <c r="H142" s="4">
        <v>45640</v>
      </c>
      <c r="I142" s="3">
        <v>316.32</v>
      </c>
      <c r="J142">
        <f t="shared" si="4"/>
        <v>363.76799999999997</v>
      </c>
      <c r="K142" s="18">
        <f t="shared" si="5"/>
        <v>-0.17286272823764928</v>
      </c>
    </row>
    <row r="143" spans="1:11" ht="15.75" thickBot="1" x14ac:dyDescent="0.3">
      <c r="A143" s="1" t="s">
        <v>30</v>
      </c>
      <c r="B143" s="1" t="s">
        <v>66</v>
      </c>
      <c r="C143" s="1" t="s">
        <v>18</v>
      </c>
      <c r="D143" s="1" t="s">
        <v>12</v>
      </c>
      <c r="E143" s="3">
        <v>1231.26</v>
      </c>
      <c r="F143" s="3">
        <v>9</v>
      </c>
      <c r="G143" s="3">
        <v>0</v>
      </c>
      <c r="H143" s="4">
        <v>45646</v>
      </c>
      <c r="I143" s="3">
        <v>492.5</v>
      </c>
      <c r="J143">
        <f t="shared" si="4"/>
        <v>492.5</v>
      </c>
      <c r="K143" s="18">
        <f t="shared" si="5"/>
        <v>-5.651933791400672E-2</v>
      </c>
    </row>
    <row r="144" spans="1:11" ht="15.75" thickBot="1" x14ac:dyDescent="0.3">
      <c r="A144" s="1" t="s">
        <v>30</v>
      </c>
      <c r="B144" s="1" t="s">
        <v>43</v>
      </c>
      <c r="C144" s="1" t="s">
        <v>11</v>
      </c>
      <c r="D144" s="1" t="s">
        <v>21</v>
      </c>
      <c r="E144" s="3">
        <v>1161.67</v>
      </c>
      <c r="F144" s="3">
        <v>19</v>
      </c>
      <c r="G144" s="3">
        <v>0.2</v>
      </c>
      <c r="H144" s="4">
        <v>45647</v>
      </c>
      <c r="I144" s="3">
        <v>232.33</v>
      </c>
      <c r="J144">
        <f t="shared" si="4"/>
        <v>278.79600000000005</v>
      </c>
      <c r="K144" s="18">
        <f t="shared" si="5"/>
        <v>-0.66580009813458207</v>
      </c>
    </row>
    <row r="145" spans="1:11" ht="30.75" thickBot="1" x14ac:dyDescent="0.3">
      <c r="A145" s="1" t="s">
        <v>49</v>
      </c>
      <c r="B145" s="1" t="s">
        <v>45</v>
      </c>
      <c r="C145" s="1" t="s">
        <v>34</v>
      </c>
      <c r="D145" s="1" t="s">
        <v>39</v>
      </c>
      <c r="E145" s="3">
        <v>388.23</v>
      </c>
      <c r="F145" s="3">
        <v>16</v>
      </c>
      <c r="G145" s="3">
        <v>0.05</v>
      </c>
      <c r="H145" s="4">
        <v>45650</v>
      </c>
      <c r="I145" s="3">
        <v>165.97</v>
      </c>
      <c r="J145">
        <f t="shared" si="4"/>
        <v>174.26849999999999</v>
      </c>
      <c r="K145" s="18">
        <f t="shared" si="5"/>
        <v>3.0940164335574272</v>
      </c>
    </row>
    <row r="146" spans="1:11" ht="15.75" thickBot="1" x14ac:dyDescent="0.3">
      <c r="A146" s="1" t="s">
        <v>72</v>
      </c>
      <c r="B146" s="1" t="s">
        <v>31</v>
      </c>
      <c r="C146" s="1" t="s">
        <v>24</v>
      </c>
      <c r="D146" s="1" t="s">
        <v>15</v>
      </c>
      <c r="E146" s="3">
        <v>1589.42</v>
      </c>
      <c r="F146" s="3">
        <v>6</v>
      </c>
      <c r="G146" s="3">
        <v>0.15</v>
      </c>
      <c r="H146" s="4">
        <v>45651</v>
      </c>
      <c r="I146" s="3">
        <v>675.5</v>
      </c>
      <c r="J146">
        <f t="shared" si="4"/>
        <v>776.82500000000005</v>
      </c>
      <c r="K146" s="18">
        <f t="shared" si="5"/>
        <v>-0.78818688578223495</v>
      </c>
    </row>
    <row r="147" spans="1:11" ht="15.75" thickBot="1" x14ac:dyDescent="0.3">
      <c r="A147" s="1" t="s">
        <v>28</v>
      </c>
      <c r="B147" s="1" t="s">
        <v>71</v>
      </c>
      <c r="C147" s="1" t="s">
        <v>24</v>
      </c>
      <c r="D147" s="1" t="s">
        <v>15</v>
      </c>
      <c r="E147" s="3">
        <v>336.66</v>
      </c>
      <c r="F147" s="3">
        <v>13</v>
      </c>
      <c r="G147" s="3">
        <v>0.2</v>
      </c>
      <c r="H147" s="4">
        <v>45651</v>
      </c>
      <c r="I147" s="3">
        <v>134.66</v>
      </c>
      <c r="J147">
        <f t="shared" si="4"/>
        <v>161.59199999999998</v>
      </c>
      <c r="K147" s="18">
        <f t="shared" si="5"/>
        <v>3.0212380443177085</v>
      </c>
    </row>
    <row r="148" spans="1:11" ht="15.75" thickBot="1" x14ac:dyDescent="0.3">
      <c r="A148" s="1" t="s">
        <v>49</v>
      </c>
      <c r="B148" s="1" t="s">
        <v>23</v>
      </c>
      <c r="C148" s="1" t="s">
        <v>11</v>
      </c>
      <c r="D148" s="1" t="s">
        <v>12</v>
      </c>
      <c r="E148" s="3">
        <v>1353.79</v>
      </c>
      <c r="F148" s="3">
        <v>14</v>
      </c>
      <c r="G148" s="3">
        <v>0.1</v>
      </c>
      <c r="H148" s="4">
        <v>45656</v>
      </c>
      <c r="I148" s="3">
        <v>487.36</v>
      </c>
      <c r="J148">
        <f t="shared" si="4"/>
        <v>536.096</v>
      </c>
      <c r="K148" s="18">
        <f t="shared" si="5"/>
        <v>-0.51055185811684234</v>
      </c>
    </row>
    <row r="149" spans="1:11" ht="15.75" thickBot="1" x14ac:dyDescent="0.3">
      <c r="A149" s="1" t="s">
        <v>63</v>
      </c>
      <c r="B149" s="1" t="s">
        <v>69</v>
      </c>
      <c r="C149" s="1" t="s">
        <v>34</v>
      </c>
      <c r="D149" s="1" t="s">
        <v>15</v>
      </c>
      <c r="E149" s="3">
        <v>662.61</v>
      </c>
      <c r="F149" s="3">
        <v>11</v>
      </c>
      <c r="G149" s="3">
        <v>0.05</v>
      </c>
      <c r="H149" s="4">
        <v>45658</v>
      </c>
      <c r="I149" s="3">
        <v>314.74</v>
      </c>
      <c r="J149">
        <f t="shared" si="4"/>
        <v>330.47700000000003</v>
      </c>
      <c r="K149" s="18">
        <f t="shared" si="5"/>
        <v>-0.53302847829039701</v>
      </c>
    </row>
    <row r="150" spans="1:11" ht="15.75" thickBot="1" x14ac:dyDescent="0.3">
      <c r="A150" s="1" t="s">
        <v>52</v>
      </c>
      <c r="B150" s="1" t="s">
        <v>48</v>
      </c>
      <c r="C150" s="1" t="s">
        <v>24</v>
      </c>
      <c r="D150" s="1" t="s">
        <v>39</v>
      </c>
      <c r="E150" s="3">
        <v>309.42</v>
      </c>
      <c r="F150" s="3">
        <v>1</v>
      </c>
      <c r="G150" s="3">
        <v>0.2</v>
      </c>
      <c r="H150" s="4">
        <v>45658</v>
      </c>
      <c r="I150" s="3">
        <v>111.39</v>
      </c>
      <c r="J150">
        <f t="shared" si="4"/>
        <v>133.66800000000001</v>
      </c>
      <c r="K150" s="18">
        <f t="shared" si="5"/>
        <v>1.8589942473014027</v>
      </c>
    </row>
    <row r="151" spans="1:11" ht="15.75" thickBot="1" x14ac:dyDescent="0.3">
      <c r="A151" s="1" t="s">
        <v>63</v>
      </c>
      <c r="B151" s="1" t="s">
        <v>29</v>
      </c>
      <c r="C151" s="1" t="s">
        <v>24</v>
      </c>
      <c r="D151" s="1" t="s">
        <v>12</v>
      </c>
      <c r="E151" s="3">
        <v>884.63</v>
      </c>
      <c r="F151" s="3">
        <v>18</v>
      </c>
      <c r="G151" s="3">
        <v>0.1</v>
      </c>
      <c r="H151" s="4">
        <v>45659</v>
      </c>
      <c r="I151" s="3">
        <v>318.47000000000003</v>
      </c>
      <c r="J151">
        <f t="shared" si="4"/>
        <v>350.31700000000001</v>
      </c>
      <c r="K151" s="18">
        <f t="shared" si="5"/>
        <v>-0.15778348009902449</v>
      </c>
    </row>
    <row r="152" spans="1:11" ht="15.75" thickBot="1" x14ac:dyDescent="0.3">
      <c r="A152" s="1" t="s">
        <v>52</v>
      </c>
      <c r="B152" s="1" t="s">
        <v>23</v>
      </c>
      <c r="C152" s="1" t="s">
        <v>34</v>
      </c>
      <c r="D152" s="1" t="s">
        <v>39</v>
      </c>
      <c r="E152" s="3">
        <v>745.05</v>
      </c>
      <c r="F152" s="3">
        <v>10</v>
      </c>
      <c r="G152" s="3">
        <v>0.1</v>
      </c>
      <c r="H152" s="4">
        <v>45660</v>
      </c>
      <c r="I152" s="3">
        <v>301.75</v>
      </c>
      <c r="J152">
        <f t="shared" si="4"/>
        <v>331.92500000000001</v>
      </c>
      <c r="K152" s="18">
        <f t="shared" si="5"/>
        <v>0.16801556942487092</v>
      </c>
    </row>
    <row r="153" spans="1:11" ht="15.75" thickBot="1" x14ac:dyDescent="0.3">
      <c r="A153" s="1" t="s">
        <v>60</v>
      </c>
      <c r="B153" s="1" t="s">
        <v>17</v>
      </c>
      <c r="C153" s="1" t="s">
        <v>20</v>
      </c>
      <c r="D153" s="1" t="s">
        <v>15</v>
      </c>
      <c r="E153" s="3">
        <v>870.23</v>
      </c>
      <c r="F153" s="3">
        <v>5</v>
      </c>
      <c r="G153" s="3">
        <v>0.05</v>
      </c>
      <c r="H153" s="4">
        <v>45660</v>
      </c>
      <c r="I153" s="3">
        <v>413.36</v>
      </c>
      <c r="J153">
        <f t="shared" si="4"/>
        <v>434.02800000000002</v>
      </c>
      <c r="K153" s="18">
        <f t="shared" si="5"/>
        <v>-9.2389368327912887E-3</v>
      </c>
    </row>
    <row r="154" spans="1:11" ht="15.75" thickBot="1" x14ac:dyDescent="0.3">
      <c r="A154" s="1" t="s">
        <v>35</v>
      </c>
      <c r="B154" s="1" t="s">
        <v>29</v>
      </c>
      <c r="C154" s="1" t="s">
        <v>11</v>
      </c>
      <c r="D154" s="1" t="s">
        <v>27</v>
      </c>
      <c r="E154" s="3">
        <v>862.19</v>
      </c>
      <c r="F154" s="3">
        <v>18</v>
      </c>
      <c r="G154" s="3">
        <v>0.05</v>
      </c>
      <c r="H154" s="4">
        <v>45663</v>
      </c>
      <c r="I154" s="3">
        <v>286.68</v>
      </c>
      <c r="J154">
        <f t="shared" si="4"/>
        <v>301.01400000000001</v>
      </c>
      <c r="K154" s="18">
        <f t="shared" si="5"/>
        <v>0.3583780837170461</v>
      </c>
    </row>
    <row r="155" spans="1:11" ht="15.75" thickBot="1" x14ac:dyDescent="0.3">
      <c r="A155" s="1" t="s">
        <v>73</v>
      </c>
      <c r="B155" s="1" t="s">
        <v>59</v>
      </c>
      <c r="C155" s="1" t="s">
        <v>24</v>
      </c>
      <c r="D155" s="1" t="s">
        <v>15</v>
      </c>
      <c r="E155" s="3">
        <v>1171.18</v>
      </c>
      <c r="F155" s="3">
        <v>19</v>
      </c>
      <c r="G155" s="3">
        <v>0.05</v>
      </c>
      <c r="H155" s="4">
        <v>45667</v>
      </c>
      <c r="I155" s="3">
        <v>556.30999999999995</v>
      </c>
      <c r="J155">
        <f t="shared" si="4"/>
        <v>584.12549999999999</v>
      </c>
      <c r="K155" s="18">
        <f t="shared" si="5"/>
        <v>-9.9574787820830374E-2</v>
      </c>
    </row>
    <row r="156" spans="1:11" ht="15.75" thickBot="1" x14ac:dyDescent="0.3">
      <c r="A156" s="1" t="s">
        <v>58</v>
      </c>
      <c r="B156" s="1" t="s">
        <v>14</v>
      </c>
      <c r="C156" s="1" t="s">
        <v>20</v>
      </c>
      <c r="D156" s="1" t="s">
        <v>27</v>
      </c>
      <c r="E156" s="3">
        <v>1054.56</v>
      </c>
      <c r="F156" s="3">
        <v>11</v>
      </c>
      <c r="G156" s="3">
        <v>0.1</v>
      </c>
      <c r="H156" s="4">
        <v>45669</v>
      </c>
      <c r="I156" s="3">
        <v>332.19</v>
      </c>
      <c r="J156">
        <f t="shared" si="4"/>
        <v>365.40899999999999</v>
      </c>
      <c r="K156" s="18">
        <f t="shared" si="5"/>
        <v>0.59422887270520419</v>
      </c>
    </row>
    <row r="157" spans="1:11" ht="15.75" thickBot="1" x14ac:dyDescent="0.3">
      <c r="A157" s="1" t="s">
        <v>58</v>
      </c>
      <c r="B157" s="1" t="s">
        <v>23</v>
      </c>
      <c r="C157" s="1" t="s">
        <v>24</v>
      </c>
      <c r="D157" s="1" t="s">
        <v>21</v>
      </c>
      <c r="E157" s="3">
        <v>1681.21</v>
      </c>
      <c r="F157" s="3">
        <v>5</v>
      </c>
      <c r="G157" s="3">
        <v>0.2</v>
      </c>
      <c r="H157" s="4">
        <v>45670</v>
      </c>
      <c r="I157" s="3">
        <v>336.24</v>
      </c>
      <c r="J157">
        <f t="shared" si="4"/>
        <v>403.488</v>
      </c>
      <c r="K157" s="18">
        <f t="shared" si="5"/>
        <v>-0.77410912378584473</v>
      </c>
    </row>
    <row r="158" spans="1:11" ht="15.75" thickBot="1" x14ac:dyDescent="0.3">
      <c r="A158" s="1" t="s">
        <v>58</v>
      </c>
      <c r="B158" s="1" t="s">
        <v>36</v>
      </c>
      <c r="C158" s="1" t="s">
        <v>11</v>
      </c>
      <c r="D158" s="1" t="s">
        <v>15</v>
      </c>
      <c r="E158" s="3">
        <v>379.77</v>
      </c>
      <c r="F158" s="3">
        <v>9</v>
      </c>
      <c r="G158" s="3">
        <v>0.05</v>
      </c>
      <c r="H158" s="4">
        <v>45673</v>
      </c>
      <c r="I158" s="3">
        <v>180.39</v>
      </c>
      <c r="J158">
        <f t="shared" si="4"/>
        <v>189.40949999999998</v>
      </c>
      <c r="K158" s="18">
        <f t="shared" si="5"/>
        <v>1.8341627827369196</v>
      </c>
    </row>
    <row r="159" spans="1:11" ht="15.75" thickBot="1" x14ac:dyDescent="0.3">
      <c r="A159" s="1" t="s">
        <v>44</v>
      </c>
      <c r="B159" s="1" t="s">
        <v>45</v>
      </c>
      <c r="C159" s="1" t="s">
        <v>34</v>
      </c>
      <c r="D159" s="1" t="s">
        <v>15</v>
      </c>
      <c r="E159" s="3">
        <v>1076.33</v>
      </c>
      <c r="F159" s="3">
        <v>2</v>
      </c>
      <c r="G159" s="3">
        <v>0.1</v>
      </c>
      <c r="H159" s="4">
        <v>45674</v>
      </c>
      <c r="I159" s="3">
        <v>484.35</v>
      </c>
      <c r="J159">
        <f t="shared" si="4"/>
        <v>532.78500000000008</v>
      </c>
      <c r="K159" s="18">
        <f t="shared" si="5"/>
        <v>0.16201350886809818</v>
      </c>
    </row>
    <row r="160" spans="1:11" ht="30.75" thickBot="1" x14ac:dyDescent="0.3">
      <c r="A160" s="1" t="s">
        <v>44</v>
      </c>
      <c r="B160" s="1" t="s">
        <v>31</v>
      </c>
      <c r="C160" s="1" t="s">
        <v>34</v>
      </c>
      <c r="D160" s="1" t="s">
        <v>39</v>
      </c>
      <c r="E160" s="3">
        <v>1250.71</v>
      </c>
      <c r="F160" s="3">
        <v>7</v>
      </c>
      <c r="G160" s="3">
        <v>0</v>
      </c>
      <c r="H160" s="4">
        <v>45674</v>
      </c>
      <c r="I160" s="3">
        <v>562.82000000000005</v>
      </c>
      <c r="J160">
        <f t="shared" si="4"/>
        <v>562.82000000000005</v>
      </c>
      <c r="K160" s="18">
        <f t="shared" si="5"/>
        <v>-0.10583588521719672</v>
      </c>
    </row>
    <row r="161" spans="1:11" ht="15.75" thickBot="1" x14ac:dyDescent="0.3">
      <c r="A161" s="1" t="s">
        <v>40</v>
      </c>
      <c r="B161" s="1" t="s">
        <v>17</v>
      </c>
      <c r="C161" s="1" t="s">
        <v>20</v>
      </c>
      <c r="D161" s="1" t="s">
        <v>15</v>
      </c>
      <c r="E161" s="3">
        <v>1118.3399999999999</v>
      </c>
      <c r="F161" s="3">
        <v>6</v>
      </c>
      <c r="G161" s="3">
        <v>0.2</v>
      </c>
      <c r="H161" s="4">
        <v>45674</v>
      </c>
      <c r="I161" s="3">
        <v>447.34</v>
      </c>
      <c r="J161">
        <f t="shared" si="4"/>
        <v>536.80799999999999</v>
      </c>
      <c r="K161" s="18">
        <f t="shared" si="5"/>
        <v>0.45091832537510956</v>
      </c>
    </row>
    <row r="162" spans="1:11" ht="15.75" thickBot="1" x14ac:dyDescent="0.3">
      <c r="A162" s="1" t="s">
        <v>70</v>
      </c>
      <c r="B162" s="1" t="s">
        <v>53</v>
      </c>
      <c r="C162" s="1" t="s">
        <v>24</v>
      </c>
      <c r="D162" s="1" t="s">
        <v>15</v>
      </c>
      <c r="E162" s="3">
        <v>1622.62</v>
      </c>
      <c r="F162" s="3">
        <v>12</v>
      </c>
      <c r="G162" s="3">
        <v>0.2</v>
      </c>
      <c r="H162" s="4">
        <v>45677</v>
      </c>
      <c r="I162" s="3">
        <v>649.04999999999995</v>
      </c>
      <c r="J162">
        <f t="shared" si="4"/>
        <v>778.8599999999999</v>
      </c>
      <c r="K162" s="18">
        <f t="shared" si="5"/>
        <v>-0.60518174310682726</v>
      </c>
    </row>
    <row r="163" spans="1:11" ht="15.75" thickBot="1" x14ac:dyDescent="0.3">
      <c r="A163" s="1" t="s">
        <v>75</v>
      </c>
      <c r="B163" s="1" t="s">
        <v>48</v>
      </c>
      <c r="C163" s="1" t="s">
        <v>24</v>
      </c>
      <c r="D163" s="1" t="s">
        <v>12</v>
      </c>
      <c r="E163" s="3">
        <v>640.64</v>
      </c>
      <c r="F163" s="3">
        <v>11</v>
      </c>
      <c r="G163" s="3">
        <v>0.2</v>
      </c>
      <c r="H163" s="4">
        <v>45678</v>
      </c>
      <c r="I163" s="3">
        <v>205</v>
      </c>
      <c r="J163">
        <f t="shared" si="4"/>
        <v>246</v>
      </c>
      <c r="K163" s="18">
        <f t="shared" si="5"/>
        <v>-8.6600899100899131E-2</v>
      </c>
    </row>
    <row r="164" spans="1:11" ht="15.75" thickBot="1" x14ac:dyDescent="0.3">
      <c r="A164" s="1" t="s">
        <v>22</v>
      </c>
      <c r="B164" s="1" t="s">
        <v>43</v>
      </c>
      <c r="C164" s="1" t="s">
        <v>11</v>
      </c>
      <c r="D164" s="1" t="s">
        <v>15</v>
      </c>
      <c r="E164" s="3">
        <v>585.16</v>
      </c>
      <c r="F164" s="3">
        <v>17</v>
      </c>
      <c r="G164" s="3">
        <v>0.1</v>
      </c>
      <c r="H164" s="4">
        <v>45684</v>
      </c>
      <c r="I164" s="3">
        <v>263.32</v>
      </c>
      <c r="J164">
        <f t="shared" si="4"/>
        <v>289.65199999999999</v>
      </c>
      <c r="K164" s="18">
        <f t="shared" si="5"/>
        <v>0.8968829038211773</v>
      </c>
    </row>
    <row r="165" spans="1:11" ht="15.75" thickBot="1" x14ac:dyDescent="0.3">
      <c r="A165" s="1" t="s">
        <v>22</v>
      </c>
      <c r="B165" s="1" t="s">
        <v>31</v>
      </c>
      <c r="C165" s="1" t="s">
        <v>18</v>
      </c>
      <c r="D165" s="1" t="s">
        <v>15</v>
      </c>
      <c r="E165" s="3">
        <v>1109.98</v>
      </c>
      <c r="F165" s="3">
        <v>5</v>
      </c>
      <c r="G165" s="3">
        <v>0.2</v>
      </c>
      <c r="H165" s="4">
        <v>45690</v>
      </c>
      <c r="I165" s="3">
        <v>443.99</v>
      </c>
      <c r="J165">
        <f t="shared" si="4"/>
        <v>532.78800000000001</v>
      </c>
      <c r="K165" s="18">
        <f t="shared" si="5"/>
        <v>-1.0720913890340448E-2</v>
      </c>
    </row>
    <row r="166" spans="1:11" ht="15.75" thickBot="1" x14ac:dyDescent="0.3">
      <c r="A166" s="1" t="s">
        <v>58</v>
      </c>
      <c r="B166" s="1" t="s">
        <v>45</v>
      </c>
      <c r="C166" s="1" t="s">
        <v>18</v>
      </c>
      <c r="D166" s="1" t="s">
        <v>12</v>
      </c>
      <c r="E166" s="3">
        <v>1098.08</v>
      </c>
      <c r="F166" s="3">
        <v>9</v>
      </c>
      <c r="G166" s="3">
        <v>0.1</v>
      </c>
      <c r="H166" s="4">
        <v>45692</v>
      </c>
      <c r="I166" s="3">
        <v>395.31</v>
      </c>
      <c r="J166">
        <f t="shared" si="4"/>
        <v>434.84100000000001</v>
      </c>
      <c r="K166" s="18">
        <f t="shared" si="5"/>
        <v>-0.24663958910097619</v>
      </c>
    </row>
    <row r="167" spans="1:11" ht="30.75" thickBot="1" x14ac:dyDescent="0.3">
      <c r="A167" s="1" t="s">
        <v>65</v>
      </c>
      <c r="B167" s="1" t="s">
        <v>48</v>
      </c>
      <c r="C167" s="1" t="s">
        <v>11</v>
      </c>
      <c r="D167" s="1" t="s">
        <v>39</v>
      </c>
      <c r="E167" s="3">
        <v>827.25</v>
      </c>
      <c r="F167" s="3">
        <v>7</v>
      </c>
      <c r="G167" s="3">
        <v>0.1</v>
      </c>
      <c r="H167" s="4">
        <v>45693</v>
      </c>
      <c r="I167" s="3">
        <v>335.04</v>
      </c>
      <c r="J167">
        <f t="shared" si="4"/>
        <v>368.54400000000004</v>
      </c>
      <c r="K167" s="18">
        <f t="shared" si="5"/>
        <v>-0.10319734058627984</v>
      </c>
    </row>
    <row r="168" spans="1:11" ht="15.75" thickBot="1" x14ac:dyDescent="0.3">
      <c r="A168" s="1" t="s">
        <v>70</v>
      </c>
      <c r="B168" s="1" t="s">
        <v>29</v>
      </c>
      <c r="C168" s="1" t="s">
        <v>34</v>
      </c>
      <c r="D168" s="1" t="s">
        <v>15</v>
      </c>
      <c r="E168" s="3">
        <v>741.88</v>
      </c>
      <c r="F168" s="3">
        <v>16</v>
      </c>
      <c r="G168" s="3">
        <v>0.1</v>
      </c>
      <c r="H168" s="4">
        <v>45695</v>
      </c>
      <c r="I168" s="3">
        <v>333.85</v>
      </c>
      <c r="J168">
        <f t="shared" si="4"/>
        <v>367.23500000000001</v>
      </c>
      <c r="K168" s="18">
        <f t="shared" si="5"/>
        <v>0.76748261174313903</v>
      </c>
    </row>
    <row r="169" spans="1:11" ht="30.75" thickBot="1" x14ac:dyDescent="0.3">
      <c r="A169" s="1" t="s">
        <v>72</v>
      </c>
      <c r="B169" s="1" t="s">
        <v>10</v>
      </c>
      <c r="C169" s="1" t="s">
        <v>18</v>
      </c>
      <c r="D169" s="1" t="s">
        <v>39</v>
      </c>
      <c r="E169" s="3">
        <v>1311.26</v>
      </c>
      <c r="F169" s="3">
        <v>6</v>
      </c>
      <c r="G169" s="3">
        <v>0.1</v>
      </c>
      <c r="H169" s="4">
        <v>45698</v>
      </c>
      <c r="I169" s="3">
        <v>531.05999999999995</v>
      </c>
      <c r="J169">
        <f t="shared" si="4"/>
        <v>584.16599999999994</v>
      </c>
      <c r="K169" s="18">
        <f t="shared" si="5"/>
        <v>-0.56277168524930221</v>
      </c>
    </row>
    <row r="170" spans="1:11" ht="30.75" thickBot="1" x14ac:dyDescent="0.3">
      <c r="A170" s="1" t="s">
        <v>72</v>
      </c>
      <c r="B170" s="1" t="s">
        <v>31</v>
      </c>
      <c r="C170" s="1" t="s">
        <v>20</v>
      </c>
      <c r="D170" s="1" t="s">
        <v>39</v>
      </c>
      <c r="E170" s="3">
        <v>573.32000000000005</v>
      </c>
      <c r="F170" s="3">
        <v>19</v>
      </c>
      <c r="G170" s="3">
        <v>0.1</v>
      </c>
      <c r="H170" s="4">
        <v>45703</v>
      </c>
      <c r="I170" s="3">
        <v>232.19</v>
      </c>
      <c r="J170">
        <f t="shared" si="4"/>
        <v>255.40899999999999</v>
      </c>
      <c r="K170" s="18">
        <f t="shared" si="5"/>
        <v>0.94519639991627702</v>
      </c>
    </row>
    <row r="171" spans="1:11" ht="15.75" thickBot="1" x14ac:dyDescent="0.3">
      <c r="A171" s="1" t="s">
        <v>52</v>
      </c>
      <c r="B171" s="1" t="s">
        <v>23</v>
      </c>
      <c r="C171" s="1" t="s">
        <v>11</v>
      </c>
      <c r="D171" s="1" t="s">
        <v>21</v>
      </c>
      <c r="E171" s="3">
        <v>1115.22</v>
      </c>
      <c r="F171" s="3">
        <v>14</v>
      </c>
      <c r="G171" s="3">
        <v>0.2</v>
      </c>
      <c r="H171" s="4">
        <v>45705</v>
      </c>
      <c r="I171" s="3">
        <v>223.04</v>
      </c>
      <c r="J171">
        <f t="shared" si="4"/>
        <v>267.64800000000002</v>
      </c>
      <c r="K171" s="18">
        <f t="shared" si="5"/>
        <v>-0.24154875271246928</v>
      </c>
    </row>
    <row r="172" spans="1:11" ht="15.75" thickBot="1" x14ac:dyDescent="0.3">
      <c r="A172" s="1" t="s">
        <v>13</v>
      </c>
      <c r="B172" s="1" t="s">
        <v>45</v>
      </c>
      <c r="C172" s="1" t="s">
        <v>24</v>
      </c>
      <c r="D172" s="1" t="s">
        <v>15</v>
      </c>
      <c r="E172" s="3">
        <v>845.84</v>
      </c>
      <c r="F172" s="3">
        <v>4</v>
      </c>
      <c r="G172" s="3">
        <v>0</v>
      </c>
      <c r="H172" s="4">
        <v>45707</v>
      </c>
      <c r="I172" s="3">
        <v>422.92</v>
      </c>
      <c r="J172">
        <f t="shared" si="4"/>
        <v>422.92</v>
      </c>
      <c r="K172" s="18">
        <f t="shared" si="5"/>
        <v>0.21748794098174587</v>
      </c>
    </row>
    <row r="173" spans="1:11" ht="15.75" thickBot="1" x14ac:dyDescent="0.3">
      <c r="A173" s="1" t="s">
        <v>30</v>
      </c>
      <c r="B173" s="1" t="s">
        <v>55</v>
      </c>
      <c r="C173" s="1" t="s">
        <v>11</v>
      </c>
      <c r="D173" s="1" t="s">
        <v>21</v>
      </c>
      <c r="E173" s="3">
        <v>1029.8</v>
      </c>
      <c r="F173" s="3">
        <v>3</v>
      </c>
      <c r="G173" s="3">
        <v>0</v>
      </c>
      <c r="H173" s="4">
        <v>45708</v>
      </c>
      <c r="I173" s="3">
        <v>257.45</v>
      </c>
      <c r="J173">
        <f t="shared" si="4"/>
        <v>257.45</v>
      </c>
      <c r="K173" s="18">
        <f t="shared" si="5"/>
        <v>0.15539910662264517</v>
      </c>
    </row>
    <row r="174" spans="1:11" ht="15.75" thickBot="1" x14ac:dyDescent="0.3">
      <c r="A174" s="1" t="s">
        <v>32</v>
      </c>
      <c r="B174" s="1" t="s">
        <v>31</v>
      </c>
      <c r="C174" s="1" t="s">
        <v>24</v>
      </c>
      <c r="D174" s="1" t="s">
        <v>12</v>
      </c>
      <c r="E174" s="3">
        <v>1189.83</v>
      </c>
      <c r="F174" s="3">
        <v>2</v>
      </c>
      <c r="G174" s="3">
        <v>0.2</v>
      </c>
      <c r="H174" s="4">
        <v>45709</v>
      </c>
      <c r="I174" s="3">
        <v>380.75</v>
      </c>
      <c r="J174">
        <f t="shared" si="4"/>
        <v>456.9</v>
      </c>
      <c r="K174" s="18">
        <f t="shared" si="5"/>
        <v>-0.40808350772799473</v>
      </c>
    </row>
    <row r="175" spans="1:11" ht="15.75" thickBot="1" x14ac:dyDescent="0.3">
      <c r="A175" s="1" t="s">
        <v>67</v>
      </c>
      <c r="B175" s="1" t="s">
        <v>43</v>
      </c>
      <c r="C175" s="1" t="s">
        <v>20</v>
      </c>
      <c r="D175" s="1" t="s">
        <v>12</v>
      </c>
      <c r="E175" s="3">
        <v>704.28</v>
      </c>
      <c r="F175" s="3">
        <v>15</v>
      </c>
      <c r="G175" s="3">
        <v>0.2</v>
      </c>
      <c r="H175" s="4">
        <v>45712</v>
      </c>
      <c r="I175" s="3">
        <v>225.37</v>
      </c>
      <c r="J175">
        <f t="shared" si="4"/>
        <v>270.44400000000002</v>
      </c>
      <c r="K175" s="18">
        <f t="shared" si="5"/>
        <v>1.2976940989379226</v>
      </c>
    </row>
    <row r="176" spans="1:11" ht="30.75" thickBot="1" x14ac:dyDescent="0.3">
      <c r="A176" s="1" t="s">
        <v>65</v>
      </c>
      <c r="B176" s="1" t="s">
        <v>47</v>
      </c>
      <c r="C176" s="1" t="s">
        <v>34</v>
      </c>
      <c r="D176" s="1" t="s">
        <v>39</v>
      </c>
      <c r="E176" s="3">
        <v>1618.22</v>
      </c>
      <c r="F176" s="3">
        <v>12</v>
      </c>
      <c r="G176" s="3">
        <v>0.2</v>
      </c>
      <c r="H176" s="4">
        <v>45712</v>
      </c>
      <c r="I176" s="3">
        <v>582.55999999999995</v>
      </c>
      <c r="J176">
        <f t="shared" si="4"/>
        <v>699.07199999999989</v>
      </c>
      <c r="K176" s="18">
        <f t="shared" si="5"/>
        <v>-0.37311984773392992</v>
      </c>
    </row>
    <row r="177" spans="1:11" ht="15.75" thickBot="1" x14ac:dyDescent="0.3">
      <c r="A177" s="1" t="s">
        <v>73</v>
      </c>
      <c r="B177" s="1" t="s">
        <v>53</v>
      </c>
      <c r="C177" s="1" t="s">
        <v>34</v>
      </c>
      <c r="D177" s="1" t="s">
        <v>12</v>
      </c>
      <c r="E177" s="3">
        <v>1014.43</v>
      </c>
      <c r="F177" s="3">
        <v>2</v>
      </c>
      <c r="G177" s="3">
        <v>0.15</v>
      </c>
      <c r="H177" s="4">
        <v>45713</v>
      </c>
      <c r="I177" s="3">
        <v>344.91</v>
      </c>
      <c r="J177">
        <f t="shared" si="4"/>
        <v>396.6465</v>
      </c>
      <c r="K177" s="18">
        <f t="shared" si="5"/>
        <v>-0.1847934307936476</v>
      </c>
    </row>
    <row r="178" spans="1:11" ht="15.75" thickBot="1" x14ac:dyDescent="0.3">
      <c r="A178" s="1" t="s">
        <v>75</v>
      </c>
      <c r="B178" s="1" t="s">
        <v>31</v>
      </c>
      <c r="C178" s="1" t="s">
        <v>34</v>
      </c>
      <c r="D178" s="1" t="s">
        <v>15</v>
      </c>
      <c r="E178" s="3">
        <v>826.97</v>
      </c>
      <c r="F178" s="3">
        <v>18</v>
      </c>
      <c r="G178" s="3">
        <v>0.2</v>
      </c>
      <c r="H178" s="4">
        <v>45715</v>
      </c>
      <c r="I178" s="3">
        <v>330.79</v>
      </c>
      <c r="J178">
        <f t="shared" si="4"/>
        <v>396.94800000000004</v>
      </c>
      <c r="K178" s="18">
        <f t="shared" si="5"/>
        <v>0.23611497394101355</v>
      </c>
    </row>
    <row r="179" spans="1:11" ht="15.75" thickBot="1" x14ac:dyDescent="0.3">
      <c r="A179" s="1" t="s">
        <v>16</v>
      </c>
      <c r="B179" s="1" t="s">
        <v>31</v>
      </c>
      <c r="C179" s="1" t="s">
        <v>34</v>
      </c>
      <c r="D179" s="1" t="s">
        <v>15</v>
      </c>
      <c r="E179" s="3">
        <v>1022.23</v>
      </c>
      <c r="F179" s="3">
        <v>8</v>
      </c>
      <c r="G179" s="3">
        <v>0.1</v>
      </c>
      <c r="H179" s="4">
        <v>45717</v>
      </c>
      <c r="I179" s="3">
        <v>460</v>
      </c>
      <c r="J179">
        <f t="shared" si="4"/>
        <v>506</v>
      </c>
      <c r="K179" s="18">
        <f t="shared" si="5"/>
        <v>7.5775510403725224E-2</v>
      </c>
    </row>
    <row r="180" spans="1:11" ht="15.75" thickBot="1" x14ac:dyDescent="0.3">
      <c r="A180" s="1" t="s">
        <v>72</v>
      </c>
      <c r="B180" s="1" t="s">
        <v>29</v>
      </c>
      <c r="C180" s="1" t="s">
        <v>18</v>
      </c>
      <c r="D180" s="1" t="s">
        <v>12</v>
      </c>
      <c r="E180" s="3">
        <v>1099.69</v>
      </c>
      <c r="F180" s="3">
        <v>6</v>
      </c>
      <c r="G180" s="3">
        <v>0</v>
      </c>
      <c r="H180" s="4">
        <v>45718</v>
      </c>
      <c r="I180" s="3">
        <v>439.88</v>
      </c>
      <c r="J180">
        <f t="shared" si="4"/>
        <v>439.88</v>
      </c>
      <c r="K180" s="18">
        <f t="shared" si="5"/>
        <v>-0.35389064190817415</v>
      </c>
    </row>
    <row r="181" spans="1:11" ht="15.75" thickBot="1" x14ac:dyDescent="0.3">
      <c r="A181" s="1" t="s">
        <v>52</v>
      </c>
      <c r="B181" s="1" t="s">
        <v>64</v>
      </c>
      <c r="C181" s="1" t="s">
        <v>24</v>
      </c>
      <c r="D181" s="1" t="s">
        <v>12</v>
      </c>
      <c r="E181" s="3">
        <v>710.52</v>
      </c>
      <c r="F181" s="3">
        <v>8</v>
      </c>
      <c r="G181" s="3">
        <v>0.1</v>
      </c>
      <c r="H181" s="4">
        <v>45721</v>
      </c>
      <c r="I181" s="3">
        <v>255.79</v>
      </c>
      <c r="J181">
        <f t="shared" si="4"/>
        <v>281.36899999999997</v>
      </c>
      <c r="K181" s="18">
        <f t="shared" si="5"/>
        <v>-0.29744412542926307</v>
      </c>
    </row>
    <row r="182" spans="1:11" ht="15.75" thickBot="1" x14ac:dyDescent="0.3">
      <c r="A182" s="1" t="s">
        <v>52</v>
      </c>
      <c r="B182" s="1" t="s">
        <v>59</v>
      </c>
      <c r="C182" s="1" t="s">
        <v>24</v>
      </c>
      <c r="D182" s="1" t="s">
        <v>12</v>
      </c>
      <c r="E182" s="3">
        <v>499.18</v>
      </c>
      <c r="F182" s="3">
        <v>15</v>
      </c>
      <c r="G182" s="3">
        <v>0.2</v>
      </c>
      <c r="H182" s="4">
        <v>45724</v>
      </c>
      <c r="I182" s="3">
        <v>159.74</v>
      </c>
      <c r="J182">
        <f t="shared" si="4"/>
        <v>191.68800000000002</v>
      </c>
      <c r="K182" s="18">
        <f t="shared" si="5"/>
        <v>1.1318762770944348</v>
      </c>
    </row>
    <row r="183" spans="1:11" ht="15.75" thickBot="1" x14ac:dyDescent="0.3">
      <c r="A183" s="1" t="s">
        <v>37</v>
      </c>
      <c r="B183" s="1" t="s">
        <v>38</v>
      </c>
      <c r="C183" s="1" t="s">
        <v>20</v>
      </c>
      <c r="D183" s="1" t="s">
        <v>12</v>
      </c>
      <c r="E183" s="3">
        <v>1064.19</v>
      </c>
      <c r="F183" s="3">
        <v>18</v>
      </c>
      <c r="G183" s="3">
        <v>0.05</v>
      </c>
      <c r="H183" s="4">
        <v>45725</v>
      </c>
      <c r="I183" s="3">
        <v>404.39</v>
      </c>
      <c r="J183">
        <f t="shared" si="4"/>
        <v>424.60949999999997</v>
      </c>
      <c r="K183" s="18">
        <f t="shared" si="5"/>
        <v>-0.58770520301825802</v>
      </c>
    </row>
    <row r="184" spans="1:11" ht="30.75" thickBot="1" x14ac:dyDescent="0.3">
      <c r="A184" s="1" t="s">
        <v>67</v>
      </c>
      <c r="B184" s="1" t="s">
        <v>38</v>
      </c>
      <c r="C184" s="1" t="s">
        <v>18</v>
      </c>
      <c r="D184" s="1" t="s">
        <v>39</v>
      </c>
      <c r="E184" s="3">
        <v>438.76</v>
      </c>
      <c r="F184" s="3">
        <v>18</v>
      </c>
      <c r="G184" s="3">
        <v>0.05</v>
      </c>
      <c r="H184" s="4">
        <v>45726</v>
      </c>
      <c r="I184" s="3">
        <v>187.57</v>
      </c>
      <c r="J184">
        <f t="shared" si="4"/>
        <v>196.9485</v>
      </c>
      <c r="K184" s="18">
        <f t="shared" si="5"/>
        <v>0.97141945482724046</v>
      </c>
    </row>
    <row r="185" spans="1:11" ht="15.75" thickBot="1" x14ac:dyDescent="0.3">
      <c r="A185" s="1" t="s">
        <v>41</v>
      </c>
      <c r="B185" s="1" t="s">
        <v>55</v>
      </c>
      <c r="C185" s="1" t="s">
        <v>11</v>
      </c>
      <c r="D185" s="1" t="s">
        <v>15</v>
      </c>
      <c r="E185" s="3">
        <v>864.98</v>
      </c>
      <c r="F185" s="3">
        <v>2</v>
      </c>
      <c r="G185" s="3">
        <v>0.05</v>
      </c>
      <c r="H185" s="4">
        <v>45727</v>
      </c>
      <c r="I185" s="3">
        <v>410.87</v>
      </c>
      <c r="J185">
        <f t="shared" si="4"/>
        <v>431.4135</v>
      </c>
      <c r="K185" s="18">
        <f t="shared" si="5"/>
        <v>0.13867372656015159</v>
      </c>
    </row>
    <row r="186" spans="1:11" ht="15.75" thickBot="1" x14ac:dyDescent="0.3">
      <c r="A186" s="1" t="s">
        <v>57</v>
      </c>
      <c r="B186" s="1" t="s">
        <v>55</v>
      </c>
      <c r="C186" s="1" t="s">
        <v>11</v>
      </c>
      <c r="D186" s="1" t="s">
        <v>27</v>
      </c>
      <c r="E186" s="3">
        <v>984.93</v>
      </c>
      <c r="F186" s="3">
        <v>14</v>
      </c>
      <c r="G186" s="3">
        <v>0.2</v>
      </c>
      <c r="H186" s="4">
        <v>45733</v>
      </c>
      <c r="I186" s="3">
        <v>275.77999999999997</v>
      </c>
      <c r="J186">
        <f t="shared" si="4"/>
        <v>330.93599999999998</v>
      </c>
      <c r="K186" s="18">
        <f t="shared" si="5"/>
        <v>0.51634126283086113</v>
      </c>
    </row>
    <row r="187" spans="1:11" ht="15.75" thickBot="1" x14ac:dyDescent="0.3">
      <c r="A187" s="1" t="s">
        <v>25</v>
      </c>
      <c r="B187" s="1" t="s">
        <v>55</v>
      </c>
      <c r="C187" s="1" t="s">
        <v>11</v>
      </c>
      <c r="D187" s="1" t="s">
        <v>15</v>
      </c>
      <c r="E187" s="3">
        <v>1493.49</v>
      </c>
      <c r="F187" s="3">
        <v>18</v>
      </c>
      <c r="G187" s="3">
        <v>0</v>
      </c>
      <c r="H187" s="4">
        <v>45734</v>
      </c>
      <c r="I187" s="3">
        <v>746.74</v>
      </c>
      <c r="J187">
        <f t="shared" si="4"/>
        <v>746.74</v>
      </c>
      <c r="K187" s="18">
        <f t="shared" si="5"/>
        <v>-0.53837655424542519</v>
      </c>
    </row>
    <row r="188" spans="1:11" ht="15.75" thickBot="1" x14ac:dyDescent="0.3">
      <c r="A188" s="1" t="s">
        <v>32</v>
      </c>
      <c r="B188" s="1" t="s">
        <v>53</v>
      </c>
      <c r="C188" s="1" t="s">
        <v>20</v>
      </c>
      <c r="D188" s="1" t="s">
        <v>15</v>
      </c>
      <c r="E188" s="3">
        <v>689.43</v>
      </c>
      <c r="F188" s="3">
        <v>9</v>
      </c>
      <c r="G188" s="3">
        <v>0.1</v>
      </c>
      <c r="H188" s="4">
        <v>45736</v>
      </c>
      <c r="I188" s="3">
        <v>310.24</v>
      </c>
      <c r="J188">
        <f t="shared" si="4"/>
        <v>341.26400000000001</v>
      </c>
      <c r="K188" s="18">
        <f t="shared" si="5"/>
        <v>-1.0428905037494657E-2</v>
      </c>
    </row>
    <row r="189" spans="1:11" ht="15.75" thickBot="1" x14ac:dyDescent="0.3">
      <c r="A189" s="1" t="s">
        <v>40</v>
      </c>
      <c r="B189" s="1" t="s">
        <v>59</v>
      </c>
      <c r="C189" s="1" t="s">
        <v>20</v>
      </c>
      <c r="D189" s="1" t="s">
        <v>15</v>
      </c>
      <c r="E189" s="3">
        <v>682.24</v>
      </c>
      <c r="F189" s="3">
        <v>1</v>
      </c>
      <c r="G189" s="3">
        <v>0</v>
      </c>
      <c r="H189" s="4">
        <v>45738</v>
      </c>
      <c r="I189" s="3">
        <v>341.12</v>
      </c>
      <c r="J189">
        <f t="shared" si="4"/>
        <v>341.12</v>
      </c>
      <c r="K189" s="18">
        <f t="shared" si="5"/>
        <v>-0.32789047842401498</v>
      </c>
    </row>
    <row r="190" spans="1:11" ht="30.75" thickBot="1" x14ac:dyDescent="0.3">
      <c r="A190" s="1" t="s">
        <v>41</v>
      </c>
      <c r="B190" s="1" t="s">
        <v>26</v>
      </c>
      <c r="C190" s="1" t="s">
        <v>24</v>
      </c>
      <c r="D190" s="1" t="s">
        <v>21</v>
      </c>
      <c r="E190" s="3">
        <v>458.54</v>
      </c>
      <c r="F190" s="3">
        <v>15</v>
      </c>
      <c r="G190" s="3">
        <v>0.2</v>
      </c>
      <c r="H190" s="4">
        <v>45741</v>
      </c>
      <c r="I190" s="3">
        <v>91.71</v>
      </c>
      <c r="J190">
        <f t="shared" si="4"/>
        <v>110.05199999999999</v>
      </c>
      <c r="K190" s="18">
        <f t="shared" si="5"/>
        <v>1.5826536398133206</v>
      </c>
    </row>
    <row r="191" spans="1:11" ht="30.75" thickBot="1" x14ac:dyDescent="0.3">
      <c r="A191" s="1" t="s">
        <v>32</v>
      </c>
      <c r="B191" s="1" t="s">
        <v>26</v>
      </c>
      <c r="C191" s="1" t="s">
        <v>20</v>
      </c>
      <c r="D191" s="1" t="s">
        <v>27</v>
      </c>
      <c r="E191" s="3">
        <v>1184.25</v>
      </c>
      <c r="F191" s="3">
        <v>11</v>
      </c>
      <c r="G191" s="3">
        <v>0.2</v>
      </c>
      <c r="H191" s="4">
        <v>45742</v>
      </c>
      <c r="I191" s="3">
        <v>331.59</v>
      </c>
      <c r="J191">
        <f t="shared" si="4"/>
        <v>397.90799999999996</v>
      </c>
      <c r="K191" s="18">
        <f t="shared" si="5"/>
        <v>-0.35643656322567024</v>
      </c>
    </row>
    <row r="192" spans="1:11" ht="15.75" thickBot="1" x14ac:dyDescent="0.3">
      <c r="A192" s="1" t="s">
        <v>25</v>
      </c>
      <c r="B192" s="1" t="s">
        <v>10</v>
      </c>
      <c r="C192" s="1" t="s">
        <v>20</v>
      </c>
      <c r="D192" s="1" t="s">
        <v>15</v>
      </c>
      <c r="E192" s="3">
        <v>762.14</v>
      </c>
      <c r="F192" s="3">
        <v>9</v>
      </c>
      <c r="G192" s="3">
        <v>0</v>
      </c>
      <c r="H192" s="4">
        <v>45743</v>
      </c>
      <c r="I192" s="3">
        <v>381.07</v>
      </c>
      <c r="J192">
        <f t="shared" si="4"/>
        <v>381.07</v>
      </c>
      <c r="K192" s="18">
        <f t="shared" si="5"/>
        <v>-1.4997244600729459E-2</v>
      </c>
    </row>
    <row r="193" spans="1:11" ht="15.75" thickBot="1" x14ac:dyDescent="0.3">
      <c r="A193" s="1" t="s">
        <v>22</v>
      </c>
      <c r="B193" s="1" t="s">
        <v>53</v>
      </c>
      <c r="C193" s="1" t="s">
        <v>24</v>
      </c>
      <c r="D193" s="1" t="s">
        <v>12</v>
      </c>
      <c r="E193" s="3">
        <v>750.71</v>
      </c>
      <c r="F193" s="3">
        <v>10</v>
      </c>
      <c r="G193" s="3">
        <v>0.15</v>
      </c>
      <c r="H193" s="4">
        <v>45743</v>
      </c>
      <c r="I193" s="3">
        <v>255.24</v>
      </c>
      <c r="J193">
        <f t="shared" si="4"/>
        <v>293.52600000000001</v>
      </c>
      <c r="K193" s="18">
        <f t="shared" si="5"/>
        <v>0.94074942387872806</v>
      </c>
    </row>
    <row r="194" spans="1:11" ht="15.75" thickBot="1" x14ac:dyDescent="0.3">
      <c r="A194" s="1" t="s">
        <v>75</v>
      </c>
      <c r="B194" s="1" t="s">
        <v>71</v>
      </c>
      <c r="C194" s="1" t="s">
        <v>34</v>
      </c>
      <c r="D194" s="1" t="s">
        <v>15</v>
      </c>
      <c r="E194" s="3">
        <v>1456.94</v>
      </c>
      <c r="F194" s="3">
        <v>14</v>
      </c>
      <c r="G194" s="3">
        <v>0.05</v>
      </c>
      <c r="H194" s="4">
        <v>45745</v>
      </c>
      <c r="I194" s="3">
        <v>692.05</v>
      </c>
      <c r="J194">
        <f t="shared" si="4"/>
        <v>726.65249999999992</v>
      </c>
      <c r="K194" s="18">
        <f t="shared" si="5"/>
        <v>-0.24953670020728372</v>
      </c>
    </row>
    <row r="195" spans="1:11" ht="15.75" thickBot="1" x14ac:dyDescent="0.3">
      <c r="A195" s="1" t="s">
        <v>44</v>
      </c>
      <c r="B195" s="1" t="s">
        <v>61</v>
      </c>
      <c r="C195" s="1" t="s">
        <v>18</v>
      </c>
      <c r="D195" s="1" t="s">
        <v>27</v>
      </c>
      <c r="E195" s="3">
        <v>1093.3800000000001</v>
      </c>
      <c r="F195" s="3">
        <v>17</v>
      </c>
      <c r="G195" s="3">
        <v>0.1</v>
      </c>
      <c r="H195" s="4">
        <v>45745</v>
      </c>
      <c r="I195" s="3">
        <v>344.41</v>
      </c>
      <c r="J195">
        <f t="shared" ref="J195:J201" si="6">I195+(I195*G195)</f>
        <v>378.851</v>
      </c>
      <c r="K195" s="18">
        <f t="shared" ref="K195:K201" si="7">(E196-E195)/E195</f>
        <v>-0.14552122775247409</v>
      </c>
    </row>
    <row r="196" spans="1:11" ht="15.75" thickBot="1" x14ac:dyDescent="0.3">
      <c r="A196" s="1" t="s">
        <v>37</v>
      </c>
      <c r="B196" s="1" t="s">
        <v>43</v>
      </c>
      <c r="C196" s="1" t="s">
        <v>11</v>
      </c>
      <c r="D196" s="1" t="s">
        <v>15</v>
      </c>
      <c r="E196" s="3">
        <v>934.27</v>
      </c>
      <c r="F196" s="3">
        <v>8</v>
      </c>
      <c r="G196" s="3">
        <v>0.15</v>
      </c>
      <c r="H196" s="4">
        <v>45746</v>
      </c>
      <c r="I196" s="3">
        <v>397.06</v>
      </c>
      <c r="J196">
        <f t="shared" si="6"/>
        <v>456.61900000000003</v>
      </c>
      <c r="K196" s="18">
        <f t="shared" si="7"/>
        <v>0.56844381174606906</v>
      </c>
    </row>
    <row r="197" spans="1:11" ht="15.75" thickBot="1" x14ac:dyDescent="0.3">
      <c r="A197" s="1" t="s">
        <v>70</v>
      </c>
      <c r="B197" s="1" t="s">
        <v>36</v>
      </c>
      <c r="C197" s="1" t="s">
        <v>34</v>
      </c>
      <c r="D197" s="1" t="s">
        <v>15</v>
      </c>
      <c r="E197" s="3">
        <v>1465.35</v>
      </c>
      <c r="F197" s="3">
        <v>8</v>
      </c>
      <c r="G197" s="3">
        <v>0.2</v>
      </c>
      <c r="H197" s="4">
        <v>45746</v>
      </c>
      <c r="I197" s="3">
        <v>586.14</v>
      </c>
      <c r="J197">
        <f t="shared" si="6"/>
        <v>703.36799999999994</v>
      </c>
      <c r="K197" s="18">
        <f t="shared" si="7"/>
        <v>-0.49445524959907189</v>
      </c>
    </row>
    <row r="198" spans="1:11" ht="30.75" thickBot="1" x14ac:dyDescent="0.3">
      <c r="A198" s="1" t="s">
        <v>52</v>
      </c>
      <c r="B198" s="1" t="s">
        <v>14</v>
      </c>
      <c r="C198" s="1" t="s">
        <v>20</v>
      </c>
      <c r="D198" s="1" t="s">
        <v>39</v>
      </c>
      <c r="E198" s="3">
        <v>740.8</v>
      </c>
      <c r="F198" s="3">
        <v>3</v>
      </c>
      <c r="G198" s="3">
        <v>0</v>
      </c>
      <c r="H198" s="4">
        <v>45749</v>
      </c>
      <c r="I198" s="3">
        <v>333.36</v>
      </c>
      <c r="J198">
        <f t="shared" si="6"/>
        <v>333.36</v>
      </c>
      <c r="K198" s="18">
        <f t="shared" si="7"/>
        <v>-0.26371490280777526</v>
      </c>
    </row>
    <row r="199" spans="1:11" ht="15.75" thickBot="1" x14ac:dyDescent="0.3">
      <c r="A199" s="1" t="s">
        <v>58</v>
      </c>
      <c r="B199" s="1" t="s">
        <v>43</v>
      </c>
      <c r="C199" s="1" t="s">
        <v>11</v>
      </c>
      <c r="D199" s="1" t="s">
        <v>39</v>
      </c>
      <c r="E199" s="3">
        <v>545.44000000000005</v>
      </c>
      <c r="F199" s="3">
        <v>17</v>
      </c>
      <c r="G199" s="3">
        <v>0</v>
      </c>
      <c r="H199" s="4">
        <v>45752</v>
      </c>
      <c r="I199" s="3">
        <v>245.45</v>
      </c>
      <c r="J199">
        <f t="shared" si="6"/>
        <v>245.45</v>
      </c>
      <c r="K199" s="18">
        <f t="shared" si="7"/>
        <v>0.82900044001173345</v>
      </c>
    </row>
    <row r="200" spans="1:11" ht="15.75" thickBot="1" x14ac:dyDescent="0.3">
      <c r="A200" s="1" t="s">
        <v>35</v>
      </c>
      <c r="B200" s="1" t="s">
        <v>36</v>
      </c>
      <c r="C200" s="1" t="s">
        <v>18</v>
      </c>
      <c r="D200" s="1" t="s">
        <v>12</v>
      </c>
      <c r="E200" s="3">
        <v>997.61</v>
      </c>
      <c r="F200" s="3">
        <v>8</v>
      </c>
      <c r="G200" s="3">
        <v>0.05</v>
      </c>
      <c r="H200" s="4">
        <v>45752</v>
      </c>
      <c r="I200" s="3">
        <v>379.09</v>
      </c>
      <c r="J200">
        <f t="shared" si="6"/>
        <v>398.04449999999997</v>
      </c>
      <c r="K200" s="18">
        <f t="shared" si="7"/>
        <v>-6.9455999839616644E-2</v>
      </c>
    </row>
    <row r="201" spans="1:11" ht="15.75" thickBot="1" x14ac:dyDescent="0.3">
      <c r="A201" s="1" t="s">
        <v>60</v>
      </c>
      <c r="B201" s="1" t="s">
        <v>36</v>
      </c>
      <c r="C201" s="1" t="s">
        <v>20</v>
      </c>
      <c r="D201" s="1" t="s">
        <v>15</v>
      </c>
      <c r="E201" s="3">
        <v>928.32</v>
      </c>
      <c r="F201" s="3">
        <v>2</v>
      </c>
      <c r="G201" s="3">
        <v>0.05</v>
      </c>
      <c r="H201" s="4">
        <v>45754</v>
      </c>
      <c r="I201" s="3">
        <v>440.95</v>
      </c>
      <c r="J201">
        <f t="shared" si="6"/>
        <v>462.9975</v>
      </c>
      <c r="K201" s="18">
        <f t="shared" si="7"/>
        <v>-1</v>
      </c>
    </row>
    <row r="202" spans="1:11" x14ac:dyDescent="0.25">
      <c r="I202">
        <f>SUM(I2:I201)</f>
        <v>68287.010000000009</v>
      </c>
    </row>
    <row r="213" spans="1:8" x14ac:dyDescent="0.25">
      <c r="A213" s="20" t="s">
        <v>107</v>
      </c>
      <c r="B213" s="20" t="s">
        <v>106</v>
      </c>
    </row>
    <row r="214" spans="1:8" x14ac:dyDescent="0.25">
      <c r="A214" s="20" t="s">
        <v>103</v>
      </c>
      <c r="B214" t="s">
        <v>12</v>
      </c>
      <c r="C214" t="s">
        <v>15</v>
      </c>
      <c r="D214" t="s">
        <v>21</v>
      </c>
      <c r="E214" t="s">
        <v>27</v>
      </c>
      <c r="F214" t="s">
        <v>39</v>
      </c>
      <c r="G214" t="s">
        <v>104</v>
      </c>
      <c r="H214" t="s">
        <v>105</v>
      </c>
    </row>
    <row r="215" spans="1:8" x14ac:dyDescent="0.25">
      <c r="A215" s="21" t="s">
        <v>34</v>
      </c>
      <c r="B215" s="22">
        <v>11297.150000000001</v>
      </c>
      <c r="C215" s="22">
        <v>12200.26</v>
      </c>
      <c r="D215" s="22">
        <v>6621.24</v>
      </c>
      <c r="E215" s="22">
        <v>4876.96</v>
      </c>
      <c r="F215" s="22">
        <v>8472.7199999999993</v>
      </c>
      <c r="G215" s="22"/>
      <c r="H215" s="22">
        <v>43468.33</v>
      </c>
    </row>
    <row r="216" spans="1:8" x14ac:dyDescent="0.25">
      <c r="A216" s="21" t="s">
        <v>18</v>
      </c>
      <c r="B216" s="22">
        <v>11389.090000000002</v>
      </c>
      <c r="C216" s="22">
        <v>2401.4499999999998</v>
      </c>
      <c r="D216" s="22">
        <v>2869.54</v>
      </c>
      <c r="E216" s="22">
        <v>7592.3399999999992</v>
      </c>
      <c r="F216" s="22">
        <v>8189.2200000000012</v>
      </c>
      <c r="G216" s="22"/>
      <c r="H216" s="22">
        <v>32441.640000000003</v>
      </c>
    </row>
    <row r="217" spans="1:8" x14ac:dyDescent="0.25">
      <c r="A217" s="21" t="s">
        <v>24</v>
      </c>
      <c r="B217" s="22">
        <v>8037.0100000000011</v>
      </c>
      <c r="C217" s="22">
        <v>8422.82</v>
      </c>
      <c r="D217" s="22">
        <v>8191.7099999999991</v>
      </c>
      <c r="E217" s="22">
        <v>6978.08</v>
      </c>
      <c r="F217" s="22">
        <v>3345.8</v>
      </c>
      <c r="G217" s="22"/>
      <c r="H217" s="22">
        <v>34975.420000000006</v>
      </c>
    </row>
    <row r="218" spans="1:8" x14ac:dyDescent="0.25">
      <c r="A218" s="21" t="s">
        <v>20</v>
      </c>
      <c r="B218" s="22">
        <v>9588.0400000000009</v>
      </c>
      <c r="C218" s="22">
        <v>8393.630000000001</v>
      </c>
      <c r="D218" s="22">
        <v>11989.070000000003</v>
      </c>
      <c r="E218" s="22">
        <v>7982.73</v>
      </c>
      <c r="F218" s="22">
        <v>2295.3199999999997</v>
      </c>
      <c r="G218" s="22"/>
      <c r="H218" s="22">
        <v>40248.79</v>
      </c>
    </row>
    <row r="219" spans="1:8" x14ac:dyDescent="0.25">
      <c r="A219" s="21" t="s">
        <v>11</v>
      </c>
      <c r="B219" s="22">
        <v>6691.17</v>
      </c>
      <c r="C219" s="22">
        <v>10509.24</v>
      </c>
      <c r="D219" s="22">
        <v>11372.44</v>
      </c>
      <c r="E219" s="22">
        <v>9182.7800000000007</v>
      </c>
      <c r="F219" s="22">
        <v>6327.76</v>
      </c>
      <c r="G219" s="22"/>
      <c r="H219" s="22">
        <v>44083.39</v>
      </c>
    </row>
    <row r="220" spans="1:8" x14ac:dyDescent="0.25">
      <c r="A220" s="21" t="s">
        <v>104</v>
      </c>
      <c r="B220" s="22"/>
      <c r="C220" s="22"/>
      <c r="D220" s="22"/>
      <c r="E220" s="22"/>
      <c r="F220" s="22"/>
      <c r="G220" s="22"/>
      <c r="H220" s="22"/>
    </row>
    <row r="221" spans="1:8" x14ac:dyDescent="0.25">
      <c r="A221" s="21" t="s">
        <v>105</v>
      </c>
      <c r="B221" s="22">
        <v>47002.460000000006</v>
      </c>
      <c r="C221" s="22">
        <v>41927.4</v>
      </c>
      <c r="D221" s="22">
        <v>41044</v>
      </c>
      <c r="E221" s="22">
        <v>36612.89</v>
      </c>
      <c r="F221" s="22">
        <v>28630.82</v>
      </c>
      <c r="G221" s="22"/>
      <c r="H221" s="22">
        <v>195217.57</v>
      </c>
    </row>
  </sheetData>
  <scenarios current="0" show="0" sqref="Q5">
    <scenario name="ddsd" locked="1" count="7" user="hp" comment="Created by hp on 01-12-2025">
      <inputCells r="G2" val="0.2"/>
      <inputCells r="G3" val="0.2"/>
      <inputCells r="G4" val="11"/>
      <inputCells r="G5" val="0.15"/>
      <inputCells r="G6" val="0.299"/>
      <inputCells r="G7" val="0.1"/>
      <inputCells r="G8" val="0.05"/>
    </scenario>
  </scenarios>
  <sortState ref="A2:K202">
    <sortCondition ref="I2"/>
  </sortState>
  <conditionalFormatting sqref="I2:I202">
    <cfRule type="top10" dxfId="0" priority="1" rank="10"/>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 Summary</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2025-11-30T15:54:58Z</dcterms:created>
  <dcterms:modified xsi:type="dcterms:W3CDTF">2025-12-03T07:08:21Z</dcterms:modified>
</cp:coreProperties>
</file>